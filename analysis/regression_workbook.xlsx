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1019304\Desktop\RAVI ROY\Business Analyst\Capstone\part3\"/>
    </mc:Choice>
  </mc:AlternateContent>
  <xr:revisionPtr revIDLastSave="0" documentId="13_ncr:1_{E9FC1FB2-B0CF-4B06-84D6-7CEA7EED7ACB}" xr6:coauthVersionLast="36" xr6:coauthVersionMax="36" xr10:uidLastSave="{00000000-0000-0000-0000-000000000000}"/>
  <bookViews>
    <workbookView xWindow="0" yWindow="0" windowWidth="19200" windowHeight="8010" activeTab="3" xr2:uid="{B727102D-172C-4CE1-BEA4-5E549E2862C8}"/>
  </bookViews>
  <sheets>
    <sheet name="store_performance" sheetId="1" r:id="rId1"/>
    <sheet name="cleaned_data_dummy" sheetId="9" r:id="rId2"/>
    <sheet name="cleaned_data" sheetId="2" r:id="rId3"/>
    <sheet name="Dummy_Variables" sheetId="3" r:id="rId4"/>
    <sheet name="Simple_Regression_1" sheetId="10" r:id="rId5"/>
    <sheet name="Simple_Regression_2" sheetId="11" r:id="rId6"/>
    <sheet name="Multiple_Regression" sheetId="12" r:id="rId7"/>
    <sheet name="Predictions_Residuals" sheetId="7" r:id="rId8"/>
    <sheet name="Model_Comparison" sheetId="8" r:id="rId9"/>
  </sheet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7" l="1"/>
  <c r="C58" i="7"/>
  <c r="C189" i="7"/>
  <c r="C72" i="7"/>
  <c r="C94" i="7"/>
  <c r="C252" i="7"/>
  <c r="C77" i="7"/>
  <c r="C164" i="7"/>
  <c r="C104" i="7"/>
  <c r="C30" i="7"/>
  <c r="C134" i="7"/>
  <c r="C159" i="7"/>
  <c r="B16" i="7"/>
  <c r="C16" i="7" s="1"/>
  <c r="B10" i="7"/>
  <c r="C10" i="7" s="1"/>
  <c r="B6" i="7"/>
  <c r="C6" i="7" s="1"/>
  <c r="B42" i="7"/>
  <c r="C42" i="7" s="1"/>
  <c r="B83" i="7"/>
  <c r="C83" i="7" s="1"/>
  <c r="B196" i="7"/>
  <c r="C196" i="7" s="1"/>
  <c r="B298" i="7"/>
  <c r="C298" i="7" s="1"/>
  <c r="B313" i="7"/>
  <c r="C313" i="7" s="1"/>
  <c r="B173" i="7"/>
  <c r="C173" i="7" s="1"/>
  <c r="B111" i="7"/>
  <c r="C111" i="7" s="1"/>
  <c r="B288" i="7"/>
  <c r="C288" i="7" s="1"/>
  <c r="B248" i="7"/>
  <c r="C248" i="7" s="1"/>
  <c r="B35" i="7"/>
  <c r="C35" i="7" s="1"/>
  <c r="B125" i="7"/>
  <c r="C125" i="7" s="1"/>
  <c r="B192" i="7"/>
  <c r="C192" i="7" s="1"/>
  <c r="B75" i="7"/>
  <c r="C75" i="7" s="1"/>
  <c r="B68" i="7"/>
  <c r="C68" i="7" s="1"/>
  <c r="B69" i="7"/>
  <c r="C69" i="7" s="1"/>
  <c r="B116" i="7"/>
  <c r="C116" i="7" s="1"/>
  <c r="B9" i="7"/>
  <c r="B130" i="7"/>
  <c r="C130" i="7" s="1"/>
  <c r="B220" i="7"/>
  <c r="C220" i="7" s="1"/>
  <c r="B187" i="7"/>
  <c r="C187" i="7" s="1"/>
  <c r="B117" i="7"/>
  <c r="C117" i="7" s="1"/>
  <c r="B11" i="7"/>
  <c r="C11" i="7" s="1"/>
  <c r="B177" i="7"/>
  <c r="C177" i="7" s="1"/>
  <c r="B208" i="7"/>
  <c r="C208" i="7" s="1"/>
  <c r="B12" i="7"/>
  <c r="C12" i="7" s="1"/>
  <c r="B154" i="7"/>
  <c r="C154" i="7" s="1"/>
  <c r="B82" i="7"/>
  <c r="C82" i="7" s="1"/>
  <c r="B17" i="7"/>
  <c r="C17" i="7" s="1"/>
  <c r="B5" i="7"/>
  <c r="C5" i="7" s="1"/>
  <c r="B26" i="7"/>
  <c r="C26" i="7" s="1"/>
  <c r="B103" i="7"/>
  <c r="C103" i="7" s="1"/>
  <c r="B79" i="7"/>
  <c r="C79" i="7" s="1"/>
  <c r="B283" i="7"/>
  <c r="C283" i="7" s="1"/>
  <c r="B67" i="7"/>
  <c r="C67" i="7" s="1"/>
  <c r="B161" i="7"/>
  <c r="C161" i="7" s="1"/>
  <c r="B178" i="7"/>
  <c r="C178" i="7" s="1"/>
  <c r="B210" i="7"/>
  <c r="C210" i="7" s="1"/>
  <c r="B206" i="7"/>
  <c r="C206" i="7" s="1"/>
  <c r="B302" i="7"/>
  <c r="C302" i="7" s="1"/>
  <c r="B184" i="7"/>
  <c r="C184" i="7" s="1"/>
  <c r="B3" i="7"/>
  <c r="C3" i="7" s="1"/>
  <c r="B59" i="7"/>
  <c r="C59" i="7" s="1"/>
  <c r="B235" i="7"/>
  <c r="C235" i="7" s="1"/>
  <c r="B190" i="7"/>
  <c r="C190" i="7" s="1"/>
  <c r="B88" i="7"/>
  <c r="C88" i="7" s="1"/>
  <c r="B221" i="7"/>
  <c r="C221" i="7" s="1"/>
  <c r="B214" i="7"/>
  <c r="C214" i="7" s="1"/>
  <c r="B265" i="7"/>
  <c r="C265" i="7" s="1"/>
  <c r="B8" i="7"/>
  <c r="C8" i="7" s="1"/>
  <c r="B274" i="7"/>
  <c r="C274" i="7" s="1"/>
  <c r="B271" i="7"/>
  <c r="C271" i="7" s="1"/>
  <c r="B58" i="7"/>
  <c r="B141" i="7"/>
  <c r="C141" i="7" s="1"/>
  <c r="B97" i="7"/>
  <c r="C97" i="7" s="1"/>
  <c r="B46" i="7"/>
  <c r="C46" i="7" s="1"/>
  <c r="B39" i="7"/>
  <c r="C39" i="7" s="1"/>
  <c r="B295" i="7"/>
  <c r="C295" i="7" s="1"/>
  <c r="B275" i="7"/>
  <c r="C275" i="7" s="1"/>
  <c r="B118" i="7"/>
  <c r="C118" i="7" s="1"/>
  <c r="B269" i="7"/>
  <c r="C269" i="7" s="1"/>
  <c r="B93" i="7"/>
  <c r="C93" i="7" s="1"/>
  <c r="B107" i="7"/>
  <c r="C107" i="7" s="1"/>
  <c r="B2" i="7"/>
  <c r="C2" i="7" s="1"/>
  <c r="B189" i="7"/>
  <c r="B294" i="7"/>
  <c r="C294" i="7" s="1"/>
  <c r="B72" i="7"/>
  <c r="B188" i="7"/>
  <c r="C188" i="7" s="1"/>
  <c r="B236" i="7"/>
  <c r="C236" i="7" s="1"/>
  <c r="B185" i="7"/>
  <c r="C185" i="7" s="1"/>
  <c r="B23" i="7"/>
  <c r="C23" i="7" s="1"/>
  <c r="B303" i="7"/>
  <c r="C303" i="7" s="1"/>
  <c r="B50" i="7"/>
  <c r="C50" i="7" s="1"/>
  <c r="B113" i="7"/>
  <c r="C113" i="7" s="1"/>
  <c r="B254" i="7"/>
  <c r="C254" i="7" s="1"/>
  <c r="B285" i="7"/>
  <c r="C285" i="7" s="1"/>
  <c r="B94" i="7"/>
  <c r="B131" i="7"/>
  <c r="C131" i="7" s="1"/>
  <c r="B291" i="7"/>
  <c r="C291" i="7" s="1"/>
  <c r="B316" i="7"/>
  <c r="C316" i="7" s="1"/>
  <c r="B219" i="7"/>
  <c r="C219" i="7" s="1"/>
  <c r="B217" i="7"/>
  <c r="C217" i="7" s="1"/>
  <c r="B85" i="7"/>
  <c r="C85" i="7" s="1"/>
  <c r="B149" i="7"/>
  <c r="C149" i="7" s="1"/>
  <c r="B157" i="7"/>
  <c r="C157" i="7" s="1"/>
  <c r="B264" i="7"/>
  <c r="C264" i="7" s="1"/>
  <c r="B4" i="7"/>
  <c r="C4" i="7" s="1"/>
  <c r="B247" i="7"/>
  <c r="C247" i="7" s="1"/>
  <c r="B252" i="7"/>
  <c r="B135" i="7"/>
  <c r="C135" i="7" s="1"/>
  <c r="B273" i="7"/>
  <c r="C273" i="7" s="1"/>
  <c r="B293" i="7"/>
  <c r="C293" i="7" s="1"/>
  <c r="B91" i="7"/>
  <c r="C91" i="7" s="1"/>
  <c r="B181" i="7"/>
  <c r="C181" i="7" s="1"/>
  <c r="B311" i="7"/>
  <c r="C311" i="7" s="1"/>
  <c r="B162" i="7"/>
  <c r="C162" i="7" s="1"/>
  <c r="B253" i="7"/>
  <c r="C253" i="7" s="1"/>
  <c r="B278" i="7"/>
  <c r="C278" i="7" s="1"/>
  <c r="B71" i="7"/>
  <c r="C71" i="7" s="1"/>
  <c r="B259" i="7"/>
  <c r="C259" i="7" s="1"/>
  <c r="B318" i="7"/>
  <c r="C318" i="7" s="1"/>
  <c r="B249" i="7"/>
  <c r="C249" i="7" s="1"/>
  <c r="B140" i="7"/>
  <c r="C140" i="7" s="1"/>
  <c r="B304" i="7"/>
  <c r="C304" i="7" s="1"/>
  <c r="B144" i="7"/>
  <c r="C144" i="7" s="1"/>
  <c r="B256" i="7"/>
  <c r="C256" i="7" s="1"/>
  <c r="B223" i="7"/>
  <c r="C223" i="7" s="1"/>
  <c r="B98" i="7"/>
  <c r="C98" i="7" s="1"/>
  <c r="B321" i="7"/>
  <c r="C321" i="7" s="1"/>
  <c r="B276" i="7"/>
  <c r="C276" i="7" s="1"/>
  <c r="B279" i="7"/>
  <c r="C279" i="7" s="1"/>
  <c r="B52" i="7"/>
  <c r="C52" i="7" s="1"/>
  <c r="B77" i="7"/>
  <c r="B174" i="7"/>
  <c r="C174" i="7" s="1"/>
  <c r="B314" i="7"/>
  <c r="C314" i="7" s="1"/>
  <c r="B25" i="7"/>
  <c r="C25" i="7" s="1"/>
  <c r="B165" i="7"/>
  <c r="C165" i="7" s="1"/>
  <c r="B38" i="7"/>
  <c r="C38" i="7" s="1"/>
  <c r="B239" i="7"/>
  <c r="C239" i="7" s="1"/>
  <c r="B60" i="7"/>
  <c r="C60" i="7" s="1"/>
  <c r="B34" i="7"/>
  <c r="C34" i="7" s="1"/>
  <c r="B319" i="7"/>
  <c r="C319" i="7" s="1"/>
  <c r="B155" i="7"/>
  <c r="C155" i="7" s="1"/>
  <c r="B297" i="7"/>
  <c r="C297" i="7" s="1"/>
  <c r="B160" i="7"/>
  <c r="C160" i="7" s="1"/>
  <c r="B224" i="7"/>
  <c r="C224" i="7" s="1"/>
  <c r="B151" i="7"/>
  <c r="C151" i="7" s="1"/>
  <c r="B27" i="7"/>
  <c r="C27" i="7" s="1"/>
  <c r="B101" i="7"/>
  <c r="C101" i="7" s="1"/>
  <c r="B37" i="7"/>
  <c r="C37" i="7" s="1"/>
  <c r="B36" i="7"/>
  <c r="C36" i="7" s="1"/>
  <c r="B138" i="7"/>
  <c r="C138" i="7" s="1"/>
  <c r="B112" i="7"/>
  <c r="C112" i="7" s="1"/>
  <c r="B13" i="7"/>
  <c r="C13" i="7" s="1"/>
  <c r="B234" i="7"/>
  <c r="C234" i="7" s="1"/>
  <c r="B289" i="7"/>
  <c r="C289" i="7" s="1"/>
  <c r="B215" i="7"/>
  <c r="C215" i="7" s="1"/>
  <c r="B281" i="7"/>
  <c r="C281" i="7" s="1"/>
  <c r="B218" i="7"/>
  <c r="C218" i="7" s="1"/>
  <c r="B268" i="7"/>
  <c r="C268" i="7" s="1"/>
  <c r="B232" i="7"/>
  <c r="C232" i="7" s="1"/>
  <c r="B48" i="7"/>
  <c r="C48" i="7" s="1"/>
  <c r="B56" i="7"/>
  <c r="C56" i="7" s="1"/>
  <c r="B123" i="7"/>
  <c r="C123" i="7" s="1"/>
  <c r="B127" i="7"/>
  <c r="C127" i="7" s="1"/>
  <c r="B86" i="7"/>
  <c r="C86" i="7" s="1"/>
  <c r="B202" i="7"/>
  <c r="C202" i="7" s="1"/>
  <c r="B261" i="7"/>
  <c r="C261" i="7" s="1"/>
  <c r="B257" i="7"/>
  <c r="C257" i="7" s="1"/>
  <c r="B115" i="7"/>
  <c r="C115" i="7" s="1"/>
  <c r="B194" i="7"/>
  <c r="C194" i="7" s="1"/>
  <c r="B54" i="7"/>
  <c r="C54" i="7" s="1"/>
  <c r="B158" i="7"/>
  <c r="C158" i="7" s="1"/>
  <c r="B136" i="7"/>
  <c r="C136" i="7" s="1"/>
  <c r="B66" i="7"/>
  <c r="C66" i="7" s="1"/>
  <c r="B301" i="7"/>
  <c r="C301" i="7" s="1"/>
  <c r="B287" i="7"/>
  <c r="C287" i="7" s="1"/>
  <c r="B51" i="7"/>
  <c r="C51" i="7" s="1"/>
  <c r="B306" i="7"/>
  <c r="C306" i="7" s="1"/>
  <c r="B147" i="7"/>
  <c r="C147" i="7" s="1"/>
  <c r="B150" i="7"/>
  <c r="C150" i="7" s="1"/>
  <c r="B280" i="7"/>
  <c r="C280" i="7" s="1"/>
  <c r="B100" i="7"/>
  <c r="C100" i="7" s="1"/>
  <c r="B145" i="7"/>
  <c r="C145" i="7" s="1"/>
  <c r="B212" i="7"/>
  <c r="C212" i="7" s="1"/>
  <c r="B61" i="7"/>
  <c r="C61" i="7" s="1"/>
  <c r="B14" i="7"/>
  <c r="C14" i="7" s="1"/>
  <c r="B241" i="7"/>
  <c r="C241" i="7" s="1"/>
  <c r="B95" i="7"/>
  <c r="C95" i="7" s="1"/>
  <c r="B167" i="7"/>
  <c r="C167" i="7" s="1"/>
  <c r="B47" i="7"/>
  <c r="C47" i="7" s="1"/>
  <c r="B65" i="7"/>
  <c r="C65" i="7" s="1"/>
  <c r="B81" i="7"/>
  <c r="C81" i="7" s="1"/>
  <c r="B237" i="7"/>
  <c r="C237" i="7" s="1"/>
  <c r="B310" i="7"/>
  <c r="C310" i="7" s="1"/>
  <c r="B263" i="7"/>
  <c r="C263" i="7" s="1"/>
  <c r="B299" i="7"/>
  <c r="C299" i="7" s="1"/>
  <c r="B143" i="7"/>
  <c r="C143" i="7" s="1"/>
  <c r="B156" i="7"/>
  <c r="C156" i="7" s="1"/>
  <c r="B146" i="7"/>
  <c r="C146" i="7" s="1"/>
  <c r="B114" i="7"/>
  <c r="C114" i="7" s="1"/>
  <c r="B96" i="7"/>
  <c r="C96" i="7" s="1"/>
  <c r="B228" i="7"/>
  <c r="C228" i="7" s="1"/>
  <c r="B292" i="7"/>
  <c r="C292" i="7" s="1"/>
  <c r="B169" i="7"/>
  <c r="C169" i="7" s="1"/>
  <c r="B238" i="7"/>
  <c r="C238" i="7" s="1"/>
  <c r="B164" i="7"/>
  <c r="B106" i="7"/>
  <c r="C106" i="7" s="1"/>
  <c r="B41" i="7"/>
  <c r="C41" i="7" s="1"/>
  <c r="B40" i="7"/>
  <c r="C40" i="7" s="1"/>
  <c r="B109" i="7"/>
  <c r="C109" i="7" s="1"/>
  <c r="B139" i="7"/>
  <c r="C139" i="7" s="1"/>
  <c r="B15" i="7"/>
  <c r="C15" i="7" s="1"/>
  <c r="B262" i="7"/>
  <c r="C262" i="7" s="1"/>
  <c r="B53" i="7"/>
  <c r="C53" i="7" s="1"/>
  <c r="B74" i="7"/>
  <c r="C74" i="7" s="1"/>
  <c r="B309" i="7"/>
  <c r="C309" i="7" s="1"/>
  <c r="B128" i="7"/>
  <c r="C128" i="7" s="1"/>
  <c r="B320" i="7"/>
  <c r="C320" i="7" s="1"/>
  <c r="B49" i="7"/>
  <c r="C49" i="7" s="1"/>
  <c r="B92" i="7"/>
  <c r="C92" i="7" s="1"/>
  <c r="B105" i="7"/>
  <c r="C105" i="7" s="1"/>
  <c r="B286" i="7"/>
  <c r="C286" i="7" s="1"/>
  <c r="B32" i="7"/>
  <c r="C32" i="7" s="1"/>
  <c r="B21" i="7"/>
  <c r="C21" i="7" s="1"/>
  <c r="B171" i="7"/>
  <c r="C171" i="7" s="1"/>
  <c r="B18" i="7"/>
  <c r="C18" i="7" s="1"/>
  <c r="B90" i="7"/>
  <c r="C90" i="7" s="1"/>
  <c r="B104" i="7"/>
  <c r="B246" i="7"/>
  <c r="C246" i="7" s="1"/>
  <c r="B260" i="7"/>
  <c r="C260" i="7" s="1"/>
  <c r="B108" i="7"/>
  <c r="C108" i="7" s="1"/>
  <c r="B199" i="7"/>
  <c r="C199" i="7" s="1"/>
  <c r="B250" i="7"/>
  <c r="C250" i="7" s="1"/>
  <c r="B203" i="7"/>
  <c r="C203" i="7" s="1"/>
  <c r="B290" i="7"/>
  <c r="C290" i="7" s="1"/>
  <c r="B209" i="7"/>
  <c r="C209" i="7" s="1"/>
  <c r="B180" i="7"/>
  <c r="C180" i="7" s="1"/>
  <c r="B126" i="7"/>
  <c r="C126" i="7" s="1"/>
  <c r="B121" i="7"/>
  <c r="C121" i="7" s="1"/>
  <c r="B44" i="7"/>
  <c r="C44" i="7" s="1"/>
  <c r="B245" i="7"/>
  <c r="C245" i="7" s="1"/>
  <c r="B176" i="7"/>
  <c r="C176" i="7" s="1"/>
  <c r="B76" i="7"/>
  <c r="C76" i="7" s="1"/>
  <c r="B225" i="7"/>
  <c r="C225" i="7" s="1"/>
  <c r="B29" i="7"/>
  <c r="C29" i="7" s="1"/>
  <c r="B284" i="7"/>
  <c r="C284" i="7" s="1"/>
  <c r="B57" i="7"/>
  <c r="C57" i="7" s="1"/>
  <c r="B198" i="7"/>
  <c r="C198" i="7" s="1"/>
  <c r="B267" i="7"/>
  <c r="C267" i="7" s="1"/>
  <c r="B305" i="7"/>
  <c r="C305" i="7" s="1"/>
  <c r="B175" i="7"/>
  <c r="C175" i="7" s="1"/>
  <c r="B168" i="7"/>
  <c r="C168" i="7" s="1"/>
  <c r="B30" i="7"/>
  <c r="B134" i="7"/>
  <c r="B159" i="7"/>
  <c r="B213" i="7"/>
  <c r="C213" i="7" s="1"/>
  <c r="B277" i="7"/>
  <c r="C277" i="7" s="1"/>
  <c r="B251" i="7"/>
  <c r="C251" i="7" s="1"/>
  <c r="B231" i="7"/>
  <c r="C231" i="7" s="1"/>
  <c r="B191" i="7"/>
  <c r="C191" i="7" s="1"/>
  <c r="B186" i="7"/>
  <c r="C186" i="7" s="1"/>
  <c r="B137" i="7"/>
  <c r="C137" i="7" s="1"/>
  <c r="B64" i="7"/>
  <c r="C64" i="7" s="1"/>
  <c r="B120" i="7"/>
  <c r="C120" i="7" s="1"/>
  <c r="B207" i="7"/>
  <c r="C207" i="7" s="1"/>
  <c r="B99" i="7"/>
  <c r="C99" i="7" s="1"/>
  <c r="B183" i="7"/>
  <c r="C183" i="7" s="1"/>
  <c r="B211" i="7"/>
  <c r="C211" i="7" s="1"/>
  <c r="B201" i="7"/>
  <c r="C201" i="7" s="1"/>
  <c r="B317" i="7"/>
  <c r="C317" i="7" s="1"/>
  <c r="B270" i="7"/>
  <c r="C270" i="7" s="1"/>
  <c r="B78" i="7"/>
  <c r="C78" i="7" s="1"/>
  <c r="B315" i="7"/>
  <c r="C315" i="7" s="1"/>
  <c r="B244" i="7"/>
  <c r="C244" i="7" s="1"/>
  <c r="B205" i="7"/>
  <c r="C205" i="7" s="1"/>
  <c r="B282" i="7"/>
  <c r="C282" i="7" s="1"/>
  <c r="B197" i="7"/>
  <c r="C197" i="7" s="1"/>
  <c r="B182" i="7"/>
  <c r="C182" i="7" s="1"/>
  <c r="B300" i="7"/>
  <c r="C300" i="7" s="1"/>
  <c r="B243" i="7"/>
  <c r="C243" i="7" s="1"/>
  <c r="B89" i="7"/>
  <c r="C89" i="7" s="1"/>
  <c r="B242" i="7"/>
  <c r="C242" i="7" s="1"/>
  <c r="B222" i="7"/>
  <c r="C222" i="7" s="1"/>
  <c r="B233" i="7"/>
  <c r="C233" i="7" s="1"/>
  <c r="B19" i="7"/>
  <c r="C19" i="7" s="1"/>
  <c r="B272" i="7"/>
  <c r="C272" i="7" s="1"/>
  <c r="B152" i="7"/>
  <c r="C152" i="7" s="1"/>
  <c r="B20" i="7"/>
  <c r="C20" i="7" s="1"/>
  <c r="B170" i="7"/>
  <c r="C170" i="7" s="1"/>
  <c r="B258" i="7"/>
  <c r="C258" i="7" s="1"/>
  <c r="B124" i="7"/>
  <c r="C124" i="7" s="1"/>
  <c r="B312" i="7"/>
  <c r="C312" i="7" s="1"/>
  <c r="B22" i="7"/>
  <c r="C22" i="7" s="1"/>
  <c r="B226" i="7"/>
  <c r="C226" i="7" s="1"/>
  <c r="B172" i="7"/>
  <c r="C172" i="7" s="1"/>
  <c r="B84" i="7"/>
  <c r="C84" i="7" s="1"/>
  <c r="B43" i="7"/>
  <c r="C43" i="7" s="1"/>
  <c r="B73" i="7"/>
  <c r="C73" i="7" s="1"/>
  <c r="B229" i="7"/>
  <c r="C229" i="7" s="1"/>
  <c r="B163" i="7"/>
  <c r="C163" i="7" s="1"/>
  <c r="B102" i="7"/>
  <c r="C102" i="7" s="1"/>
  <c r="B148" i="7"/>
  <c r="C148" i="7" s="1"/>
  <c r="B179" i="7"/>
  <c r="C179" i="7" s="1"/>
  <c r="B122" i="7"/>
  <c r="C122" i="7" s="1"/>
  <c r="B227" i="7"/>
  <c r="C227" i="7" s="1"/>
  <c r="B70" i="7"/>
  <c r="C70" i="7" s="1"/>
  <c r="B308" i="7"/>
  <c r="C308" i="7" s="1"/>
  <c r="B80" i="7"/>
  <c r="C80" i="7" s="1"/>
  <c r="B63" i="7"/>
  <c r="C63" i="7" s="1"/>
  <c r="B200" i="7"/>
  <c r="C200" i="7" s="1"/>
  <c r="B195" i="7"/>
  <c r="C195" i="7" s="1"/>
  <c r="B240" i="7"/>
  <c r="C240" i="7" s="1"/>
  <c r="B133" i="7"/>
  <c r="C133" i="7" s="1"/>
  <c r="B307" i="7"/>
  <c r="C307" i="7" s="1"/>
  <c r="B87" i="7"/>
  <c r="C87" i="7" s="1"/>
  <c r="B24" i="7"/>
  <c r="C24" i="7" s="1"/>
  <c r="B110" i="7"/>
  <c r="C110" i="7" s="1"/>
  <c r="B153" i="7"/>
  <c r="C153" i="7" s="1"/>
  <c r="B166" i="7"/>
  <c r="C166" i="7" s="1"/>
  <c r="B296" i="7"/>
  <c r="C296" i="7" s="1"/>
  <c r="B255" i="7"/>
  <c r="C255" i="7" s="1"/>
  <c r="B7" i="7"/>
  <c r="C7" i="7" s="1"/>
  <c r="B266" i="7"/>
  <c r="C266" i="7" s="1"/>
  <c r="B31" i="7"/>
  <c r="C31" i="7" s="1"/>
  <c r="B119" i="7"/>
  <c r="C119" i="7" s="1"/>
  <c r="B62" i="7"/>
  <c r="C62" i="7" s="1"/>
  <c r="B142" i="7"/>
  <c r="C142" i="7" s="1"/>
  <c r="B230" i="7"/>
  <c r="C230" i="7" s="1"/>
  <c r="B193" i="7"/>
  <c r="C193" i="7" s="1"/>
  <c r="B55" i="7"/>
  <c r="C55" i="7" s="1"/>
  <c r="B204" i="7"/>
  <c r="C204" i="7" s="1"/>
  <c r="B216" i="7"/>
  <c r="C216" i="7" s="1"/>
  <c r="B33" i="7"/>
  <c r="C33" i="7" s="1"/>
  <c r="B129" i="7"/>
  <c r="C129" i="7" s="1"/>
  <c r="B132" i="7"/>
  <c r="C132" i="7" s="1"/>
  <c r="B45" i="7"/>
  <c r="C45" i="7" s="1"/>
  <c r="B28" i="7"/>
  <c r="C28" i="7" s="1"/>
  <c r="Q3" i="3" l="1"/>
  <c r="I3" i="3"/>
  <c r="R3" i="3"/>
  <c r="S3" i="3"/>
  <c r="T3" i="3"/>
  <c r="U3" i="3"/>
  <c r="Q4" i="3"/>
  <c r="I4" i="3"/>
  <c r="R4" i="3"/>
  <c r="S4" i="3"/>
  <c r="T4" i="3"/>
  <c r="U4" i="3"/>
  <c r="Q5" i="3"/>
  <c r="I5" i="3"/>
  <c r="R5" i="3"/>
  <c r="S5" i="3"/>
  <c r="T5" i="3"/>
  <c r="U5" i="3"/>
  <c r="Q6" i="3"/>
  <c r="I6" i="3"/>
  <c r="R6" i="3"/>
  <c r="S6" i="3"/>
  <c r="T6" i="3"/>
  <c r="U6" i="3"/>
  <c r="Q7" i="3"/>
  <c r="I7" i="3"/>
  <c r="R7" i="3"/>
  <c r="S7" i="3"/>
  <c r="T7" i="3"/>
  <c r="U7" i="3"/>
  <c r="Q8" i="3"/>
  <c r="I8" i="3"/>
  <c r="R8" i="3"/>
  <c r="S8" i="3"/>
  <c r="T8" i="3"/>
  <c r="U8" i="3"/>
  <c r="Q9" i="3"/>
  <c r="I9" i="3"/>
  <c r="R9" i="3"/>
  <c r="S9" i="3"/>
  <c r="T9" i="3"/>
  <c r="U9" i="3"/>
  <c r="Q10" i="3"/>
  <c r="I10" i="3"/>
  <c r="R10" i="3"/>
  <c r="S10" i="3"/>
  <c r="T10" i="3"/>
  <c r="U10" i="3"/>
  <c r="Q11" i="3"/>
  <c r="I11" i="3"/>
  <c r="R11" i="3"/>
  <c r="S11" i="3"/>
  <c r="T11" i="3"/>
  <c r="U11" i="3"/>
  <c r="Q12" i="3"/>
  <c r="I12" i="3"/>
  <c r="R12" i="3"/>
  <c r="S12" i="3"/>
  <c r="T12" i="3"/>
  <c r="U12" i="3"/>
  <c r="Q13" i="3"/>
  <c r="I13" i="3"/>
  <c r="R13" i="3"/>
  <c r="S13" i="3"/>
  <c r="T13" i="3"/>
  <c r="U13" i="3"/>
  <c r="Q14" i="3"/>
  <c r="I14" i="3"/>
  <c r="R14" i="3"/>
  <c r="S14" i="3"/>
  <c r="T14" i="3"/>
  <c r="U14" i="3"/>
  <c r="Q15" i="3"/>
  <c r="I15" i="3"/>
  <c r="R15" i="3"/>
  <c r="S15" i="3"/>
  <c r="T15" i="3"/>
  <c r="U15" i="3"/>
  <c r="Q16" i="3"/>
  <c r="I16" i="3"/>
  <c r="R16" i="3"/>
  <c r="S16" i="3"/>
  <c r="T16" i="3"/>
  <c r="U16" i="3"/>
  <c r="Q17" i="3"/>
  <c r="I17" i="3"/>
  <c r="R17" i="3"/>
  <c r="S17" i="3"/>
  <c r="T17" i="3"/>
  <c r="U17" i="3"/>
  <c r="Q18" i="3"/>
  <c r="I18" i="3"/>
  <c r="R18" i="3"/>
  <c r="S18" i="3"/>
  <c r="T18" i="3"/>
  <c r="U18" i="3"/>
  <c r="Q19" i="3"/>
  <c r="I19" i="3"/>
  <c r="R19" i="3"/>
  <c r="S19" i="3"/>
  <c r="T19" i="3"/>
  <c r="U19" i="3"/>
  <c r="Q20" i="3"/>
  <c r="I20" i="3"/>
  <c r="R20" i="3"/>
  <c r="S20" i="3"/>
  <c r="T20" i="3"/>
  <c r="U20" i="3"/>
  <c r="Q21" i="3"/>
  <c r="I21" i="3"/>
  <c r="R21" i="3"/>
  <c r="S21" i="3"/>
  <c r="T21" i="3"/>
  <c r="U21" i="3"/>
  <c r="Q22" i="3"/>
  <c r="I22" i="3"/>
  <c r="R22" i="3"/>
  <c r="S22" i="3"/>
  <c r="T22" i="3"/>
  <c r="U22" i="3"/>
  <c r="Q23" i="3"/>
  <c r="I23" i="3"/>
  <c r="R23" i="3"/>
  <c r="S23" i="3"/>
  <c r="T23" i="3"/>
  <c r="U23" i="3"/>
  <c r="Q24" i="3"/>
  <c r="I24" i="3"/>
  <c r="R24" i="3"/>
  <c r="S24" i="3"/>
  <c r="T24" i="3"/>
  <c r="U24" i="3"/>
  <c r="Q25" i="3"/>
  <c r="I25" i="3"/>
  <c r="R25" i="3"/>
  <c r="S25" i="3"/>
  <c r="T25" i="3"/>
  <c r="U25" i="3"/>
  <c r="Q26" i="3"/>
  <c r="I26" i="3"/>
  <c r="R26" i="3"/>
  <c r="S26" i="3"/>
  <c r="T26" i="3"/>
  <c r="U26" i="3"/>
  <c r="Q27" i="3"/>
  <c r="I27" i="3"/>
  <c r="R27" i="3"/>
  <c r="S27" i="3"/>
  <c r="T27" i="3"/>
  <c r="U27" i="3"/>
  <c r="Q28" i="3"/>
  <c r="I28" i="3"/>
  <c r="R28" i="3"/>
  <c r="S28" i="3"/>
  <c r="T28" i="3"/>
  <c r="U28" i="3"/>
  <c r="Q29" i="3"/>
  <c r="I29" i="3"/>
  <c r="R29" i="3"/>
  <c r="S29" i="3"/>
  <c r="T29" i="3"/>
  <c r="U29" i="3"/>
  <c r="Q30" i="3"/>
  <c r="I30" i="3"/>
  <c r="R30" i="3"/>
  <c r="S30" i="3"/>
  <c r="T30" i="3"/>
  <c r="U30" i="3"/>
  <c r="Q31" i="3"/>
  <c r="I31" i="3"/>
  <c r="R31" i="3"/>
  <c r="S31" i="3"/>
  <c r="T31" i="3"/>
  <c r="U31" i="3"/>
  <c r="Q32" i="3"/>
  <c r="I32" i="3"/>
  <c r="R32" i="3"/>
  <c r="S32" i="3"/>
  <c r="T32" i="3"/>
  <c r="U32" i="3"/>
  <c r="Q33" i="3"/>
  <c r="I33" i="3"/>
  <c r="R33" i="3"/>
  <c r="S33" i="3"/>
  <c r="T33" i="3"/>
  <c r="U33" i="3"/>
  <c r="Q34" i="3"/>
  <c r="I34" i="3"/>
  <c r="R34" i="3"/>
  <c r="S34" i="3"/>
  <c r="T34" i="3"/>
  <c r="U34" i="3"/>
  <c r="Q35" i="3"/>
  <c r="I35" i="3"/>
  <c r="R35" i="3"/>
  <c r="S35" i="3"/>
  <c r="T35" i="3"/>
  <c r="U35" i="3"/>
  <c r="Q36" i="3"/>
  <c r="I36" i="3"/>
  <c r="R36" i="3"/>
  <c r="S36" i="3"/>
  <c r="T36" i="3"/>
  <c r="U36" i="3"/>
  <c r="Q37" i="3"/>
  <c r="I37" i="3"/>
  <c r="R37" i="3"/>
  <c r="S37" i="3"/>
  <c r="T37" i="3"/>
  <c r="U37" i="3"/>
  <c r="Q38" i="3"/>
  <c r="I38" i="3"/>
  <c r="R38" i="3"/>
  <c r="S38" i="3"/>
  <c r="T38" i="3"/>
  <c r="U38" i="3"/>
  <c r="Q39" i="3"/>
  <c r="I39" i="3"/>
  <c r="R39" i="3"/>
  <c r="S39" i="3"/>
  <c r="T39" i="3"/>
  <c r="U39" i="3"/>
  <c r="Q40" i="3"/>
  <c r="I40" i="3"/>
  <c r="R40" i="3"/>
  <c r="S40" i="3"/>
  <c r="T40" i="3"/>
  <c r="U40" i="3"/>
  <c r="Q41" i="3"/>
  <c r="I41" i="3"/>
  <c r="R41" i="3"/>
  <c r="S41" i="3"/>
  <c r="T41" i="3"/>
  <c r="U41" i="3"/>
  <c r="Q42" i="3"/>
  <c r="I42" i="3"/>
  <c r="R42" i="3"/>
  <c r="S42" i="3"/>
  <c r="T42" i="3"/>
  <c r="U42" i="3"/>
  <c r="Q43" i="3"/>
  <c r="I43" i="3"/>
  <c r="R43" i="3"/>
  <c r="S43" i="3"/>
  <c r="T43" i="3"/>
  <c r="U43" i="3"/>
  <c r="Q44" i="3"/>
  <c r="I44" i="3"/>
  <c r="R44" i="3"/>
  <c r="S44" i="3"/>
  <c r="T44" i="3"/>
  <c r="U44" i="3"/>
  <c r="Q45" i="3"/>
  <c r="I45" i="3"/>
  <c r="R45" i="3"/>
  <c r="S45" i="3"/>
  <c r="T45" i="3"/>
  <c r="U45" i="3"/>
  <c r="Q46" i="3"/>
  <c r="I46" i="3"/>
  <c r="R46" i="3"/>
  <c r="S46" i="3"/>
  <c r="T46" i="3"/>
  <c r="U46" i="3"/>
  <c r="Q47" i="3"/>
  <c r="I47" i="3"/>
  <c r="R47" i="3"/>
  <c r="S47" i="3"/>
  <c r="T47" i="3"/>
  <c r="U47" i="3"/>
  <c r="Q48" i="3"/>
  <c r="I48" i="3"/>
  <c r="R48" i="3"/>
  <c r="S48" i="3"/>
  <c r="T48" i="3"/>
  <c r="U48" i="3"/>
  <c r="Q49" i="3"/>
  <c r="I49" i="3"/>
  <c r="R49" i="3"/>
  <c r="S49" i="3"/>
  <c r="T49" i="3"/>
  <c r="U49" i="3"/>
  <c r="Q50" i="3"/>
  <c r="I50" i="3"/>
  <c r="R50" i="3"/>
  <c r="S50" i="3"/>
  <c r="T50" i="3"/>
  <c r="U50" i="3"/>
  <c r="Q51" i="3"/>
  <c r="I51" i="3"/>
  <c r="R51" i="3"/>
  <c r="S51" i="3"/>
  <c r="T51" i="3"/>
  <c r="U51" i="3"/>
  <c r="Q52" i="3"/>
  <c r="I52" i="3"/>
  <c r="R52" i="3"/>
  <c r="S52" i="3"/>
  <c r="T52" i="3"/>
  <c r="U52" i="3"/>
  <c r="Q53" i="3"/>
  <c r="I53" i="3"/>
  <c r="R53" i="3"/>
  <c r="S53" i="3"/>
  <c r="T53" i="3"/>
  <c r="U53" i="3"/>
  <c r="Q54" i="3"/>
  <c r="I54" i="3"/>
  <c r="R54" i="3"/>
  <c r="S54" i="3"/>
  <c r="T54" i="3"/>
  <c r="U54" i="3"/>
  <c r="Q55" i="3"/>
  <c r="I55" i="3"/>
  <c r="R55" i="3"/>
  <c r="S55" i="3"/>
  <c r="T55" i="3"/>
  <c r="U55" i="3"/>
  <c r="Q56" i="3"/>
  <c r="I56" i="3"/>
  <c r="R56" i="3"/>
  <c r="S56" i="3"/>
  <c r="T56" i="3"/>
  <c r="U56" i="3"/>
  <c r="Q57" i="3"/>
  <c r="I57" i="3"/>
  <c r="R57" i="3"/>
  <c r="S57" i="3"/>
  <c r="T57" i="3"/>
  <c r="U57" i="3"/>
  <c r="Q58" i="3"/>
  <c r="I58" i="3"/>
  <c r="R58" i="3"/>
  <c r="S58" i="3"/>
  <c r="T58" i="3"/>
  <c r="U58" i="3"/>
  <c r="Q59" i="3"/>
  <c r="I59" i="3"/>
  <c r="R59" i="3"/>
  <c r="S59" i="3"/>
  <c r="T59" i="3"/>
  <c r="U59" i="3"/>
  <c r="Q60" i="3"/>
  <c r="I60" i="3"/>
  <c r="R60" i="3"/>
  <c r="S60" i="3"/>
  <c r="T60" i="3"/>
  <c r="U60" i="3"/>
  <c r="Q61" i="3"/>
  <c r="I61" i="3"/>
  <c r="R61" i="3"/>
  <c r="S61" i="3"/>
  <c r="T61" i="3"/>
  <c r="U61" i="3"/>
  <c r="Q62" i="3"/>
  <c r="I62" i="3"/>
  <c r="R62" i="3"/>
  <c r="S62" i="3"/>
  <c r="T62" i="3"/>
  <c r="U62" i="3"/>
  <c r="Q63" i="3"/>
  <c r="I63" i="3"/>
  <c r="R63" i="3"/>
  <c r="S63" i="3"/>
  <c r="T63" i="3"/>
  <c r="U63" i="3"/>
  <c r="Q64" i="3"/>
  <c r="I64" i="3"/>
  <c r="R64" i="3"/>
  <c r="S64" i="3"/>
  <c r="T64" i="3"/>
  <c r="U64" i="3"/>
  <c r="Q65" i="3"/>
  <c r="I65" i="3"/>
  <c r="R65" i="3"/>
  <c r="S65" i="3"/>
  <c r="T65" i="3"/>
  <c r="U65" i="3"/>
  <c r="Q66" i="3"/>
  <c r="I66" i="3"/>
  <c r="R66" i="3"/>
  <c r="S66" i="3"/>
  <c r="T66" i="3"/>
  <c r="U66" i="3"/>
  <c r="Q67" i="3"/>
  <c r="I67" i="3"/>
  <c r="R67" i="3"/>
  <c r="S67" i="3"/>
  <c r="T67" i="3"/>
  <c r="U67" i="3"/>
  <c r="Q68" i="3"/>
  <c r="I68" i="3"/>
  <c r="R68" i="3"/>
  <c r="S68" i="3"/>
  <c r="T68" i="3"/>
  <c r="U68" i="3"/>
  <c r="Q69" i="3"/>
  <c r="I69" i="3"/>
  <c r="R69" i="3"/>
  <c r="S69" i="3"/>
  <c r="T69" i="3"/>
  <c r="U69" i="3"/>
  <c r="Q70" i="3"/>
  <c r="I70" i="3"/>
  <c r="R70" i="3"/>
  <c r="S70" i="3"/>
  <c r="T70" i="3"/>
  <c r="U70" i="3"/>
  <c r="Q71" i="3"/>
  <c r="I71" i="3"/>
  <c r="R71" i="3"/>
  <c r="S71" i="3"/>
  <c r="T71" i="3"/>
  <c r="U71" i="3"/>
  <c r="Q72" i="3"/>
  <c r="I72" i="3"/>
  <c r="R72" i="3"/>
  <c r="S72" i="3"/>
  <c r="T72" i="3"/>
  <c r="U72" i="3"/>
  <c r="Q73" i="3"/>
  <c r="I73" i="3"/>
  <c r="R73" i="3"/>
  <c r="S73" i="3"/>
  <c r="T73" i="3"/>
  <c r="U73" i="3"/>
  <c r="Q74" i="3"/>
  <c r="I74" i="3"/>
  <c r="R74" i="3"/>
  <c r="S74" i="3"/>
  <c r="T74" i="3"/>
  <c r="U74" i="3"/>
  <c r="Q75" i="3"/>
  <c r="I75" i="3"/>
  <c r="R75" i="3"/>
  <c r="S75" i="3"/>
  <c r="T75" i="3"/>
  <c r="U75" i="3"/>
  <c r="Q76" i="3"/>
  <c r="I76" i="3"/>
  <c r="R76" i="3"/>
  <c r="S76" i="3"/>
  <c r="T76" i="3"/>
  <c r="U76" i="3"/>
  <c r="Q77" i="3"/>
  <c r="I77" i="3"/>
  <c r="R77" i="3"/>
  <c r="S77" i="3"/>
  <c r="T77" i="3"/>
  <c r="U77" i="3"/>
  <c r="Q78" i="3"/>
  <c r="I78" i="3"/>
  <c r="R78" i="3"/>
  <c r="S78" i="3"/>
  <c r="T78" i="3"/>
  <c r="U78" i="3"/>
  <c r="Q79" i="3"/>
  <c r="I79" i="3"/>
  <c r="R79" i="3"/>
  <c r="S79" i="3"/>
  <c r="T79" i="3"/>
  <c r="U79" i="3"/>
  <c r="Q80" i="3"/>
  <c r="I80" i="3"/>
  <c r="R80" i="3"/>
  <c r="S80" i="3"/>
  <c r="T80" i="3"/>
  <c r="U80" i="3"/>
  <c r="Q81" i="3"/>
  <c r="I81" i="3"/>
  <c r="R81" i="3"/>
  <c r="S81" i="3"/>
  <c r="T81" i="3"/>
  <c r="U81" i="3"/>
  <c r="Q82" i="3"/>
  <c r="I82" i="3"/>
  <c r="R82" i="3"/>
  <c r="S82" i="3"/>
  <c r="T82" i="3"/>
  <c r="U82" i="3"/>
  <c r="Q83" i="3"/>
  <c r="I83" i="3"/>
  <c r="R83" i="3"/>
  <c r="S83" i="3"/>
  <c r="T83" i="3"/>
  <c r="U83" i="3"/>
  <c r="Q84" i="3"/>
  <c r="I84" i="3"/>
  <c r="R84" i="3"/>
  <c r="S84" i="3"/>
  <c r="T84" i="3"/>
  <c r="U84" i="3"/>
  <c r="Q85" i="3"/>
  <c r="I85" i="3"/>
  <c r="R85" i="3"/>
  <c r="S85" i="3"/>
  <c r="T85" i="3"/>
  <c r="U85" i="3"/>
  <c r="Q86" i="3"/>
  <c r="I86" i="3"/>
  <c r="R86" i="3"/>
  <c r="S86" i="3"/>
  <c r="T86" i="3"/>
  <c r="U86" i="3"/>
  <c r="Q87" i="3"/>
  <c r="I87" i="3"/>
  <c r="R87" i="3"/>
  <c r="S87" i="3"/>
  <c r="T87" i="3"/>
  <c r="U87" i="3"/>
  <c r="Q88" i="3"/>
  <c r="I88" i="3"/>
  <c r="R88" i="3"/>
  <c r="S88" i="3"/>
  <c r="T88" i="3"/>
  <c r="U88" i="3"/>
  <c r="Q89" i="3"/>
  <c r="I89" i="3"/>
  <c r="R89" i="3"/>
  <c r="S89" i="3"/>
  <c r="T89" i="3"/>
  <c r="U89" i="3"/>
  <c r="Q90" i="3"/>
  <c r="I90" i="3"/>
  <c r="R90" i="3"/>
  <c r="S90" i="3"/>
  <c r="T90" i="3"/>
  <c r="U90" i="3"/>
  <c r="Q91" i="3"/>
  <c r="I91" i="3"/>
  <c r="R91" i="3"/>
  <c r="S91" i="3"/>
  <c r="T91" i="3"/>
  <c r="U91" i="3"/>
  <c r="Q92" i="3"/>
  <c r="I92" i="3"/>
  <c r="R92" i="3"/>
  <c r="S92" i="3"/>
  <c r="T92" i="3"/>
  <c r="U92" i="3"/>
  <c r="Q93" i="3"/>
  <c r="I93" i="3"/>
  <c r="R93" i="3"/>
  <c r="S93" i="3"/>
  <c r="T93" i="3"/>
  <c r="U93" i="3"/>
  <c r="Q94" i="3"/>
  <c r="I94" i="3"/>
  <c r="R94" i="3"/>
  <c r="S94" i="3"/>
  <c r="T94" i="3"/>
  <c r="U94" i="3"/>
  <c r="Q95" i="3"/>
  <c r="I95" i="3"/>
  <c r="R95" i="3"/>
  <c r="S95" i="3"/>
  <c r="T95" i="3"/>
  <c r="U95" i="3"/>
  <c r="Q96" i="3"/>
  <c r="I96" i="3"/>
  <c r="R96" i="3"/>
  <c r="S96" i="3"/>
  <c r="T96" i="3"/>
  <c r="U96" i="3"/>
  <c r="Q97" i="3"/>
  <c r="I97" i="3"/>
  <c r="R97" i="3"/>
  <c r="S97" i="3"/>
  <c r="T97" i="3"/>
  <c r="U97" i="3"/>
  <c r="Q98" i="3"/>
  <c r="I98" i="3"/>
  <c r="R98" i="3"/>
  <c r="S98" i="3"/>
  <c r="T98" i="3"/>
  <c r="U98" i="3"/>
  <c r="Q99" i="3"/>
  <c r="I99" i="3"/>
  <c r="R99" i="3"/>
  <c r="S99" i="3"/>
  <c r="T99" i="3"/>
  <c r="U99" i="3"/>
  <c r="Q100" i="3"/>
  <c r="I100" i="3"/>
  <c r="R100" i="3"/>
  <c r="S100" i="3"/>
  <c r="T100" i="3"/>
  <c r="U100" i="3"/>
  <c r="Q101" i="3"/>
  <c r="I101" i="3"/>
  <c r="R101" i="3"/>
  <c r="S101" i="3"/>
  <c r="T101" i="3"/>
  <c r="U101" i="3"/>
  <c r="Q102" i="3"/>
  <c r="I102" i="3"/>
  <c r="R102" i="3"/>
  <c r="S102" i="3"/>
  <c r="T102" i="3"/>
  <c r="U102" i="3"/>
  <c r="Q103" i="3"/>
  <c r="I103" i="3"/>
  <c r="R103" i="3"/>
  <c r="S103" i="3"/>
  <c r="T103" i="3"/>
  <c r="U103" i="3"/>
  <c r="Q104" i="3"/>
  <c r="I104" i="3"/>
  <c r="R104" i="3"/>
  <c r="S104" i="3"/>
  <c r="T104" i="3"/>
  <c r="U104" i="3"/>
  <c r="Q105" i="3"/>
  <c r="I105" i="3"/>
  <c r="R105" i="3"/>
  <c r="S105" i="3"/>
  <c r="T105" i="3"/>
  <c r="U105" i="3"/>
  <c r="Q106" i="3"/>
  <c r="I106" i="3"/>
  <c r="R106" i="3"/>
  <c r="S106" i="3"/>
  <c r="T106" i="3"/>
  <c r="U106" i="3"/>
  <c r="Q107" i="3"/>
  <c r="I107" i="3"/>
  <c r="R107" i="3"/>
  <c r="S107" i="3"/>
  <c r="T107" i="3"/>
  <c r="U107" i="3"/>
  <c r="Q108" i="3"/>
  <c r="I108" i="3"/>
  <c r="R108" i="3"/>
  <c r="S108" i="3"/>
  <c r="T108" i="3"/>
  <c r="U108" i="3"/>
  <c r="Q109" i="3"/>
  <c r="I109" i="3"/>
  <c r="R109" i="3"/>
  <c r="S109" i="3"/>
  <c r="T109" i="3"/>
  <c r="U109" i="3"/>
  <c r="Q110" i="3"/>
  <c r="I110" i="3"/>
  <c r="R110" i="3"/>
  <c r="S110" i="3"/>
  <c r="T110" i="3"/>
  <c r="U110" i="3"/>
  <c r="Q111" i="3"/>
  <c r="I111" i="3"/>
  <c r="R111" i="3"/>
  <c r="S111" i="3"/>
  <c r="T111" i="3"/>
  <c r="U111" i="3"/>
  <c r="Q112" i="3"/>
  <c r="I112" i="3"/>
  <c r="R112" i="3"/>
  <c r="S112" i="3"/>
  <c r="T112" i="3"/>
  <c r="U112" i="3"/>
  <c r="Q113" i="3"/>
  <c r="I113" i="3"/>
  <c r="R113" i="3"/>
  <c r="S113" i="3"/>
  <c r="T113" i="3"/>
  <c r="U113" i="3"/>
  <c r="Q114" i="3"/>
  <c r="I114" i="3"/>
  <c r="R114" i="3"/>
  <c r="S114" i="3"/>
  <c r="T114" i="3"/>
  <c r="U114" i="3"/>
  <c r="Q115" i="3"/>
  <c r="I115" i="3"/>
  <c r="R115" i="3"/>
  <c r="S115" i="3"/>
  <c r="T115" i="3"/>
  <c r="U115" i="3"/>
  <c r="Q116" i="3"/>
  <c r="I116" i="3"/>
  <c r="R116" i="3"/>
  <c r="S116" i="3"/>
  <c r="T116" i="3"/>
  <c r="U116" i="3"/>
  <c r="Q117" i="3"/>
  <c r="I117" i="3"/>
  <c r="R117" i="3"/>
  <c r="S117" i="3"/>
  <c r="T117" i="3"/>
  <c r="U117" i="3"/>
  <c r="Q118" i="3"/>
  <c r="I118" i="3"/>
  <c r="R118" i="3"/>
  <c r="S118" i="3"/>
  <c r="T118" i="3"/>
  <c r="U118" i="3"/>
  <c r="Q119" i="3"/>
  <c r="I119" i="3"/>
  <c r="R119" i="3"/>
  <c r="S119" i="3"/>
  <c r="T119" i="3"/>
  <c r="U119" i="3"/>
  <c r="Q120" i="3"/>
  <c r="I120" i="3"/>
  <c r="R120" i="3"/>
  <c r="S120" i="3"/>
  <c r="T120" i="3"/>
  <c r="U120" i="3"/>
  <c r="Q121" i="3"/>
  <c r="I121" i="3"/>
  <c r="R121" i="3"/>
  <c r="S121" i="3"/>
  <c r="T121" i="3"/>
  <c r="U121" i="3"/>
  <c r="Q122" i="3"/>
  <c r="I122" i="3"/>
  <c r="R122" i="3"/>
  <c r="S122" i="3"/>
  <c r="T122" i="3"/>
  <c r="U122" i="3"/>
  <c r="Q123" i="3"/>
  <c r="I123" i="3"/>
  <c r="R123" i="3"/>
  <c r="S123" i="3"/>
  <c r="T123" i="3"/>
  <c r="U123" i="3"/>
  <c r="Q124" i="3"/>
  <c r="I124" i="3"/>
  <c r="R124" i="3"/>
  <c r="S124" i="3"/>
  <c r="T124" i="3"/>
  <c r="U124" i="3"/>
  <c r="Q125" i="3"/>
  <c r="I125" i="3"/>
  <c r="R125" i="3"/>
  <c r="S125" i="3"/>
  <c r="T125" i="3"/>
  <c r="U125" i="3"/>
  <c r="Q126" i="3"/>
  <c r="I126" i="3"/>
  <c r="R126" i="3"/>
  <c r="S126" i="3"/>
  <c r="T126" i="3"/>
  <c r="U126" i="3"/>
  <c r="Q127" i="3"/>
  <c r="I127" i="3"/>
  <c r="R127" i="3"/>
  <c r="S127" i="3"/>
  <c r="T127" i="3"/>
  <c r="U127" i="3"/>
  <c r="Q128" i="3"/>
  <c r="I128" i="3"/>
  <c r="R128" i="3"/>
  <c r="S128" i="3"/>
  <c r="T128" i="3"/>
  <c r="U128" i="3"/>
  <c r="Q129" i="3"/>
  <c r="I129" i="3"/>
  <c r="R129" i="3"/>
  <c r="S129" i="3"/>
  <c r="T129" i="3"/>
  <c r="U129" i="3"/>
  <c r="Q130" i="3"/>
  <c r="I130" i="3"/>
  <c r="R130" i="3"/>
  <c r="S130" i="3"/>
  <c r="T130" i="3"/>
  <c r="U130" i="3"/>
  <c r="Q131" i="3"/>
  <c r="I131" i="3"/>
  <c r="R131" i="3"/>
  <c r="S131" i="3"/>
  <c r="T131" i="3"/>
  <c r="U131" i="3"/>
  <c r="Q132" i="3"/>
  <c r="I132" i="3"/>
  <c r="R132" i="3"/>
  <c r="S132" i="3"/>
  <c r="T132" i="3"/>
  <c r="U132" i="3"/>
  <c r="Q133" i="3"/>
  <c r="I133" i="3"/>
  <c r="R133" i="3"/>
  <c r="S133" i="3"/>
  <c r="T133" i="3"/>
  <c r="U133" i="3"/>
  <c r="Q134" i="3"/>
  <c r="I134" i="3"/>
  <c r="R134" i="3"/>
  <c r="S134" i="3"/>
  <c r="T134" i="3"/>
  <c r="U134" i="3"/>
  <c r="Q135" i="3"/>
  <c r="I135" i="3"/>
  <c r="R135" i="3"/>
  <c r="S135" i="3"/>
  <c r="T135" i="3"/>
  <c r="U135" i="3"/>
  <c r="Q136" i="3"/>
  <c r="I136" i="3"/>
  <c r="R136" i="3"/>
  <c r="S136" i="3"/>
  <c r="T136" i="3"/>
  <c r="U136" i="3"/>
  <c r="Q137" i="3"/>
  <c r="I137" i="3"/>
  <c r="R137" i="3"/>
  <c r="S137" i="3"/>
  <c r="T137" i="3"/>
  <c r="U137" i="3"/>
  <c r="Q138" i="3"/>
  <c r="I138" i="3"/>
  <c r="R138" i="3"/>
  <c r="S138" i="3"/>
  <c r="T138" i="3"/>
  <c r="U138" i="3"/>
  <c r="Q139" i="3"/>
  <c r="I139" i="3"/>
  <c r="R139" i="3"/>
  <c r="S139" i="3"/>
  <c r="T139" i="3"/>
  <c r="U139" i="3"/>
  <c r="Q140" i="3"/>
  <c r="I140" i="3"/>
  <c r="R140" i="3"/>
  <c r="S140" i="3"/>
  <c r="T140" i="3"/>
  <c r="U140" i="3"/>
  <c r="Q141" i="3"/>
  <c r="I141" i="3"/>
  <c r="R141" i="3"/>
  <c r="S141" i="3"/>
  <c r="T141" i="3"/>
  <c r="U141" i="3"/>
  <c r="Q142" i="3"/>
  <c r="I142" i="3"/>
  <c r="R142" i="3"/>
  <c r="S142" i="3"/>
  <c r="T142" i="3"/>
  <c r="U142" i="3"/>
  <c r="Q143" i="3"/>
  <c r="I143" i="3"/>
  <c r="R143" i="3"/>
  <c r="S143" i="3"/>
  <c r="T143" i="3"/>
  <c r="U143" i="3"/>
  <c r="Q144" i="3"/>
  <c r="I144" i="3"/>
  <c r="R144" i="3"/>
  <c r="S144" i="3"/>
  <c r="T144" i="3"/>
  <c r="U144" i="3"/>
  <c r="Q145" i="3"/>
  <c r="I145" i="3"/>
  <c r="R145" i="3"/>
  <c r="S145" i="3"/>
  <c r="T145" i="3"/>
  <c r="U145" i="3"/>
  <c r="Q146" i="3"/>
  <c r="I146" i="3"/>
  <c r="R146" i="3"/>
  <c r="S146" i="3"/>
  <c r="T146" i="3"/>
  <c r="U146" i="3"/>
  <c r="Q147" i="3"/>
  <c r="I147" i="3"/>
  <c r="R147" i="3"/>
  <c r="S147" i="3"/>
  <c r="T147" i="3"/>
  <c r="U147" i="3"/>
  <c r="Q148" i="3"/>
  <c r="I148" i="3"/>
  <c r="R148" i="3"/>
  <c r="S148" i="3"/>
  <c r="T148" i="3"/>
  <c r="U148" i="3"/>
  <c r="Q149" i="3"/>
  <c r="I149" i="3"/>
  <c r="R149" i="3"/>
  <c r="S149" i="3"/>
  <c r="T149" i="3"/>
  <c r="U149" i="3"/>
  <c r="Q150" i="3"/>
  <c r="I150" i="3"/>
  <c r="R150" i="3"/>
  <c r="S150" i="3"/>
  <c r="T150" i="3"/>
  <c r="U150" i="3"/>
  <c r="Q151" i="3"/>
  <c r="I151" i="3"/>
  <c r="R151" i="3"/>
  <c r="S151" i="3"/>
  <c r="T151" i="3"/>
  <c r="U151" i="3"/>
  <c r="Q152" i="3"/>
  <c r="I152" i="3"/>
  <c r="R152" i="3"/>
  <c r="S152" i="3"/>
  <c r="T152" i="3"/>
  <c r="U152" i="3"/>
  <c r="Q153" i="3"/>
  <c r="I153" i="3"/>
  <c r="R153" i="3"/>
  <c r="S153" i="3"/>
  <c r="T153" i="3"/>
  <c r="U153" i="3"/>
  <c r="Q154" i="3"/>
  <c r="I154" i="3"/>
  <c r="R154" i="3"/>
  <c r="S154" i="3"/>
  <c r="T154" i="3"/>
  <c r="U154" i="3"/>
  <c r="Q155" i="3"/>
  <c r="I155" i="3"/>
  <c r="R155" i="3"/>
  <c r="S155" i="3"/>
  <c r="T155" i="3"/>
  <c r="U155" i="3"/>
  <c r="Q156" i="3"/>
  <c r="I156" i="3"/>
  <c r="R156" i="3"/>
  <c r="S156" i="3"/>
  <c r="T156" i="3"/>
  <c r="U156" i="3"/>
  <c r="Q157" i="3"/>
  <c r="I157" i="3"/>
  <c r="R157" i="3"/>
  <c r="S157" i="3"/>
  <c r="T157" i="3"/>
  <c r="U157" i="3"/>
  <c r="Q158" i="3"/>
  <c r="I158" i="3"/>
  <c r="R158" i="3"/>
  <c r="S158" i="3"/>
  <c r="T158" i="3"/>
  <c r="U158" i="3"/>
  <c r="Q159" i="3"/>
  <c r="I159" i="3"/>
  <c r="R159" i="3"/>
  <c r="S159" i="3"/>
  <c r="T159" i="3"/>
  <c r="U159" i="3"/>
  <c r="Q160" i="3"/>
  <c r="I160" i="3"/>
  <c r="R160" i="3"/>
  <c r="S160" i="3"/>
  <c r="T160" i="3"/>
  <c r="U160" i="3"/>
  <c r="Q161" i="3"/>
  <c r="I161" i="3"/>
  <c r="R161" i="3"/>
  <c r="S161" i="3"/>
  <c r="T161" i="3"/>
  <c r="U161" i="3"/>
  <c r="Q162" i="3"/>
  <c r="I162" i="3"/>
  <c r="R162" i="3"/>
  <c r="S162" i="3"/>
  <c r="T162" i="3"/>
  <c r="U162" i="3"/>
  <c r="Q163" i="3"/>
  <c r="I163" i="3"/>
  <c r="R163" i="3"/>
  <c r="S163" i="3"/>
  <c r="T163" i="3"/>
  <c r="U163" i="3"/>
  <c r="Q164" i="3"/>
  <c r="I164" i="3"/>
  <c r="R164" i="3"/>
  <c r="S164" i="3"/>
  <c r="T164" i="3"/>
  <c r="U164" i="3"/>
  <c r="Q165" i="3"/>
  <c r="I165" i="3"/>
  <c r="R165" i="3"/>
  <c r="S165" i="3"/>
  <c r="T165" i="3"/>
  <c r="U165" i="3"/>
  <c r="Q166" i="3"/>
  <c r="I166" i="3"/>
  <c r="R166" i="3"/>
  <c r="S166" i="3"/>
  <c r="T166" i="3"/>
  <c r="U166" i="3"/>
  <c r="Q167" i="3"/>
  <c r="I167" i="3"/>
  <c r="R167" i="3"/>
  <c r="S167" i="3"/>
  <c r="T167" i="3"/>
  <c r="U167" i="3"/>
  <c r="Q168" i="3"/>
  <c r="I168" i="3"/>
  <c r="R168" i="3"/>
  <c r="S168" i="3"/>
  <c r="T168" i="3"/>
  <c r="U168" i="3"/>
  <c r="Q169" i="3"/>
  <c r="I169" i="3"/>
  <c r="R169" i="3"/>
  <c r="S169" i="3"/>
  <c r="T169" i="3"/>
  <c r="U169" i="3"/>
  <c r="Q170" i="3"/>
  <c r="I170" i="3"/>
  <c r="R170" i="3"/>
  <c r="S170" i="3"/>
  <c r="T170" i="3"/>
  <c r="U170" i="3"/>
  <c r="Q171" i="3"/>
  <c r="I171" i="3"/>
  <c r="R171" i="3"/>
  <c r="S171" i="3"/>
  <c r="T171" i="3"/>
  <c r="U171" i="3"/>
  <c r="Q172" i="3"/>
  <c r="I172" i="3"/>
  <c r="R172" i="3"/>
  <c r="S172" i="3"/>
  <c r="T172" i="3"/>
  <c r="U172" i="3"/>
  <c r="Q173" i="3"/>
  <c r="I173" i="3"/>
  <c r="R173" i="3"/>
  <c r="S173" i="3"/>
  <c r="T173" i="3"/>
  <c r="U173" i="3"/>
  <c r="Q174" i="3"/>
  <c r="I174" i="3"/>
  <c r="R174" i="3"/>
  <c r="S174" i="3"/>
  <c r="T174" i="3"/>
  <c r="U174" i="3"/>
  <c r="Q175" i="3"/>
  <c r="I175" i="3"/>
  <c r="R175" i="3"/>
  <c r="S175" i="3"/>
  <c r="T175" i="3"/>
  <c r="U175" i="3"/>
  <c r="Q176" i="3"/>
  <c r="I176" i="3"/>
  <c r="R176" i="3"/>
  <c r="S176" i="3"/>
  <c r="T176" i="3"/>
  <c r="U176" i="3"/>
  <c r="Q177" i="3"/>
  <c r="I177" i="3"/>
  <c r="R177" i="3"/>
  <c r="S177" i="3"/>
  <c r="T177" i="3"/>
  <c r="U177" i="3"/>
  <c r="Q178" i="3"/>
  <c r="I178" i="3"/>
  <c r="R178" i="3"/>
  <c r="S178" i="3"/>
  <c r="T178" i="3"/>
  <c r="U178" i="3"/>
  <c r="Q179" i="3"/>
  <c r="I179" i="3"/>
  <c r="R179" i="3"/>
  <c r="S179" i="3"/>
  <c r="T179" i="3"/>
  <c r="U179" i="3"/>
  <c r="Q180" i="3"/>
  <c r="I180" i="3"/>
  <c r="R180" i="3"/>
  <c r="S180" i="3"/>
  <c r="T180" i="3"/>
  <c r="U180" i="3"/>
  <c r="Q181" i="3"/>
  <c r="I181" i="3"/>
  <c r="R181" i="3"/>
  <c r="S181" i="3"/>
  <c r="T181" i="3"/>
  <c r="U181" i="3"/>
  <c r="Q182" i="3"/>
  <c r="I182" i="3"/>
  <c r="R182" i="3"/>
  <c r="S182" i="3"/>
  <c r="T182" i="3"/>
  <c r="U182" i="3"/>
  <c r="Q183" i="3"/>
  <c r="I183" i="3"/>
  <c r="R183" i="3"/>
  <c r="S183" i="3"/>
  <c r="T183" i="3"/>
  <c r="U183" i="3"/>
  <c r="Q184" i="3"/>
  <c r="I184" i="3"/>
  <c r="R184" i="3"/>
  <c r="S184" i="3"/>
  <c r="T184" i="3"/>
  <c r="U184" i="3"/>
  <c r="Q185" i="3"/>
  <c r="I185" i="3"/>
  <c r="R185" i="3"/>
  <c r="S185" i="3"/>
  <c r="T185" i="3"/>
  <c r="U185" i="3"/>
  <c r="Q186" i="3"/>
  <c r="I186" i="3"/>
  <c r="R186" i="3"/>
  <c r="S186" i="3"/>
  <c r="T186" i="3"/>
  <c r="U186" i="3"/>
  <c r="Q187" i="3"/>
  <c r="I187" i="3"/>
  <c r="R187" i="3"/>
  <c r="S187" i="3"/>
  <c r="T187" i="3"/>
  <c r="U187" i="3"/>
  <c r="Q188" i="3"/>
  <c r="I188" i="3"/>
  <c r="R188" i="3"/>
  <c r="S188" i="3"/>
  <c r="T188" i="3"/>
  <c r="U188" i="3"/>
  <c r="Q189" i="3"/>
  <c r="I189" i="3"/>
  <c r="R189" i="3"/>
  <c r="S189" i="3"/>
  <c r="T189" i="3"/>
  <c r="U189" i="3"/>
  <c r="Q190" i="3"/>
  <c r="I190" i="3"/>
  <c r="R190" i="3"/>
  <c r="S190" i="3"/>
  <c r="T190" i="3"/>
  <c r="U190" i="3"/>
  <c r="Q191" i="3"/>
  <c r="I191" i="3"/>
  <c r="R191" i="3"/>
  <c r="S191" i="3"/>
  <c r="T191" i="3"/>
  <c r="U191" i="3"/>
  <c r="Q192" i="3"/>
  <c r="I192" i="3"/>
  <c r="R192" i="3"/>
  <c r="S192" i="3"/>
  <c r="T192" i="3"/>
  <c r="U192" i="3"/>
  <c r="Q193" i="3"/>
  <c r="I193" i="3"/>
  <c r="R193" i="3"/>
  <c r="S193" i="3"/>
  <c r="T193" i="3"/>
  <c r="U193" i="3"/>
  <c r="Q194" i="3"/>
  <c r="I194" i="3"/>
  <c r="R194" i="3"/>
  <c r="S194" i="3"/>
  <c r="T194" i="3"/>
  <c r="U194" i="3"/>
  <c r="Q195" i="3"/>
  <c r="I195" i="3"/>
  <c r="R195" i="3"/>
  <c r="S195" i="3"/>
  <c r="T195" i="3"/>
  <c r="U195" i="3"/>
  <c r="Q196" i="3"/>
  <c r="I196" i="3"/>
  <c r="R196" i="3"/>
  <c r="S196" i="3"/>
  <c r="T196" i="3"/>
  <c r="U196" i="3"/>
  <c r="Q197" i="3"/>
  <c r="I197" i="3"/>
  <c r="R197" i="3"/>
  <c r="S197" i="3"/>
  <c r="T197" i="3"/>
  <c r="U197" i="3"/>
  <c r="Q198" i="3"/>
  <c r="I198" i="3"/>
  <c r="R198" i="3"/>
  <c r="S198" i="3"/>
  <c r="T198" i="3"/>
  <c r="U198" i="3"/>
  <c r="Q199" i="3"/>
  <c r="I199" i="3"/>
  <c r="R199" i="3"/>
  <c r="S199" i="3"/>
  <c r="T199" i="3"/>
  <c r="U199" i="3"/>
  <c r="Q200" i="3"/>
  <c r="I200" i="3"/>
  <c r="R200" i="3"/>
  <c r="S200" i="3"/>
  <c r="T200" i="3"/>
  <c r="U200" i="3"/>
  <c r="Q201" i="3"/>
  <c r="I201" i="3"/>
  <c r="R201" i="3"/>
  <c r="S201" i="3"/>
  <c r="T201" i="3"/>
  <c r="U201" i="3"/>
  <c r="Q202" i="3"/>
  <c r="I202" i="3"/>
  <c r="R202" i="3"/>
  <c r="S202" i="3"/>
  <c r="T202" i="3"/>
  <c r="U202" i="3"/>
  <c r="Q203" i="3"/>
  <c r="I203" i="3"/>
  <c r="R203" i="3"/>
  <c r="S203" i="3"/>
  <c r="T203" i="3"/>
  <c r="U203" i="3"/>
  <c r="Q204" i="3"/>
  <c r="I204" i="3"/>
  <c r="R204" i="3"/>
  <c r="S204" i="3"/>
  <c r="T204" i="3"/>
  <c r="U204" i="3"/>
  <c r="Q205" i="3"/>
  <c r="I205" i="3"/>
  <c r="R205" i="3"/>
  <c r="S205" i="3"/>
  <c r="T205" i="3"/>
  <c r="U205" i="3"/>
  <c r="Q206" i="3"/>
  <c r="I206" i="3"/>
  <c r="R206" i="3"/>
  <c r="S206" i="3"/>
  <c r="T206" i="3"/>
  <c r="U206" i="3"/>
  <c r="Q207" i="3"/>
  <c r="I207" i="3"/>
  <c r="R207" i="3"/>
  <c r="S207" i="3"/>
  <c r="T207" i="3"/>
  <c r="U207" i="3"/>
  <c r="Q208" i="3"/>
  <c r="I208" i="3"/>
  <c r="R208" i="3"/>
  <c r="S208" i="3"/>
  <c r="T208" i="3"/>
  <c r="U208" i="3"/>
  <c r="Q209" i="3"/>
  <c r="I209" i="3"/>
  <c r="R209" i="3"/>
  <c r="S209" i="3"/>
  <c r="T209" i="3"/>
  <c r="U209" i="3"/>
  <c r="Q210" i="3"/>
  <c r="I210" i="3"/>
  <c r="R210" i="3"/>
  <c r="S210" i="3"/>
  <c r="T210" i="3"/>
  <c r="U210" i="3"/>
  <c r="Q211" i="3"/>
  <c r="I211" i="3"/>
  <c r="R211" i="3"/>
  <c r="S211" i="3"/>
  <c r="T211" i="3"/>
  <c r="U211" i="3"/>
  <c r="Q212" i="3"/>
  <c r="I212" i="3"/>
  <c r="R212" i="3"/>
  <c r="S212" i="3"/>
  <c r="T212" i="3"/>
  <c r="U212" i="3"/>
  <c r="Q213" i="3"/>
  <c r="I213" i="3"/>
  <c r="R213" i="3"/>
  <c r="S213" i="3"/>
  <c r="T213" i="3"/>
  <c r="U213" i="3"/>
  <c r="Q214" i="3"/>
  <c r="I214" i="3"/>
  <c r="R214" i="3"/>
  <c r="S214" i="3"/>
  <c r="T214" i="3"/>
  <c r="U214" i="3"/>
  <c r="Q215" i="3"/>
  <c r="I215" i="3"/>
  <c r="R215" i="3"/>
  <c r="S215" i="3"/>
  <c r="T215" i="3"/>
  <c r="U215" i="3"/>
  <c r="Q216" i="3"/>
  <c r="I216" i="3"/>
  <c r="R216" i="3"/>
  <c r="S216" i="3"/>
  <c r="T216" i="3"/>
  <c r="U216" i="3"/>
  <c r="Q217" i="3"/>
  <c r="I217" i="3"/>
  <c r="R217" i="3"/>
  <c r="S217" i="3"/>
  <c r="T217" i="3"/>
  <c r="U217" i="3"/>
  <c r="Q218" i="3"/>
  <c r="I218" i="3"/>
  <c r="R218" i="3"/>
  <c r="S218" i="3"/>
  <c r="T218" i="3"/>
  <c r="U218" i="3"/>
  <c r="Q219" i="3"/>
  <c r="I219" i="3"/>
  <c r="R219" i="3"/>
  <c r="S219" i="3"/>
  <c r="T219" i="3"/>
  <c r="U219" i="3"/>
  <c r="Q220" i="3"/>
  <c r="I220" i="3"/>
  <c r="R220" i="3"/>
  <c r="S220" i="3"/>
  <c r="T220" i="3"/>
  <c r="U220" i="3"/>
  <c r="Q221" i="3"/>
  <c r="I221" i="3"/>
  <c r="R221" i="3"/>
  <c r="S221" i="3"/>
  <c r="T221" i="3"/>
  <c r="U221" i="3"/>
  <c r="Q222" i="3"/>
  <c r="I222" i="3"/>
  <c r="R222" i="3"/>
  <c r="S222" i="3"/>
  <c r="T222" i="3"/>
  <c r="U222" i="3"/>
  <c r="Q223" i="3"/>
  <c r="I223" i="3"/>
  <c r="R223" i="3"/>
  <c r="S223" i="3"/>
  <c r="T223" i="3"/>
  <c r="U223" i="3"/>
  <c r="Q224" i="3"/>
  <c r="I224" i="3"/>
  <c r="R224" i="3"/>
  <c r="S224" i="3"/>
  <c r="T224" i="3"/>
  <c r="U224" i="3"/>
  <c r="Q225" i="3"/>
  <c r="I225" i="3"/>
  <c r="R225" i="3"/>
  <c r="S225" i="3"/>
  <c r="T225" i="3"/>
  <c r="U225" i="3"/>
  <c r="Q226" i="3"/>
  <c r="I226" i="3"/>
  <c r="R226" i="3"/>
  <c r="S226" i="3"/>
  <c r="T226" i="3"/>
  <c r="U226" i="3"/>
  <c r="Q227" i="3"/>
  <c r="I227" i="3"/>
  <c r="R227" i="3"/>
  <c r="S227" i="3"/>
  <c r="T227" i="3"/>
  <c r="U227" i="3"/>
  <c r="Q228" i="3"/>
  <c r="I228" i="3"/>
  <c r="R228" i="3"/>
  <c r="S228" i="3"/>
  <c r="T228" i="3"/>
  <c r="U228" i="3"/>
  <c r="Q229" i="3"/>
  <c r="I229" i="3"/>
  <c r="R229" i="3"/>
  <c r="S229" i="3"/>
  <c r="T229" i="3"/>
  <c r="U229" i="3"/>
  <c r="Q230" i="3"/>
  <c r="I230" i="3"/>
  <c r="R230" i="3"/>
  <c r="S230" i="3"/>
  <c r="T230" i="3"/>
  <c r="U230" i="3"/>
  <c r="Q231" i="3"/>
  <c r="I231" i="3"/>
  <c r="R231" i="3"/>
  <c r="S231" i="3"/>
  <c r="T231" i="3"/>
  <c r="U231" i="3"/>
  <c r="Q232" i="3"/>
  <c r="I232" i="3"/>
  <c r="R232" i="3"/>
  <c r="S232" i="3"/>
  <c r="T232" i="3"/>
  <c r="U232" i="3"/>
  <c r="Q233" i="3"/>
  <c r="I233" i="3"/>
  <c r="R233" i="3"/>
  <c r="S233" i="3"/>
  <c r="T233" i="3"/>
  <c r="U233" i="3"/>
  <c r="Q234" i="3"/>
  <c r="I234" i="3"/>
  <c r="R234" i="3"/>
  <c r="S234" i="3"/>
  <c r="T234" i="3"/>
  <c r="U234" i="3"/>
  <c r="Q235" i="3"/>
  <c r="I235" i="3"/>
  <c r="R235" i="3"/>
  <c r="S235" i="3"/>
  <c r="T235" i="3"/>
  <c r="U235" i="3"/>
  <c r="Q236" i="3"/>
  <c r="I236" i="3"/>
  <c r="R236" i="3"/>
  <c r="S236" i="3"/>
  <c r="T236" i="3"/>
  <c r="U236" i="3"/>
  <c r="Q237" i="3"/>
  <c r="I237" i="3"/>
  <c r="R237" i="3"/>
  <c r="S237" i="3"/>
  <c r="T237" i="3"/>
  <c r="U237" i="3"/>
  <c r="Q238" i="3"/>
  <c r="I238" i="3"/>
  <c r="R238" i="3"/>
  <c r="S238" i="3"/>
  <c r="T238" i="3"/>
  <c r="U238" i="3"/>
  <c r="Q239" i="3"/>
  <c r="I239" i="3"/>
  <c r="R239" i="3"/>
  <c r="S239" i="3"/>
  <c r="T239" i="3"/>
  <c r="U239" i="3"/>
  <c r="Q240" i="3"/>
  <c r="I240" i="3"/>
  <c r="R240" i="3"/>
  <c r="S240" i="3"/>
  <c r="T240" i="3"/>
  <c r="U240" i="3"/>
  <c r="Q241" i="3"/>
  <c r="I241" i="3"/>
  <c r="R241" i="3"/>
  <c r="S241" i="3"/>
  <c r="T241" i="3"/>
  <c r="U241" i="3"/>
  <c r="Q242" i="3"/>
  <c r="I242" i="3"/>
  <c r="R242" i="3"/>
  <c r="S242" i="3"/>
  <c r="T242" i="3"/>
  <c r="U242" i="3"/>
  <c r="Q243" i="3"/>
  <c r="I243" i="3"/>
  <c r="R243" i="3"/>
  <c r="S243" i="3"/>
  <c r="T243" i="3"/>
  <c r="U243" i="3"/>
  <c r="Q244" i="3"/>
  <c r="I244" i="3"/>
  <c r="R244" i="3"/>
  <c r="S244" i="3"/>
  <c r="T244" i="3"/>
  <c r="U244" i="3"/>
  <c r="Q245" i="3"/>
  <c r="I245" i="3"/>
  <c r="R245" i="3"/>
  <c r="S245" i="3"/>
  <c r="T245" i="3"/>
  <c r="U245" i="3"/>
  <c r="Q246" i="3"/>
  <c r="I246" i="3"/>
  <c r="R246" i="3"/>
  <c r="S246" i="3"/>
  <c r="T246" i="3"/>
  <c r="U246" i="3"/>
  <c r="Q247" i="3"/>
  <c r="I247" i="3"/>
  <c r="R247" i="3"/>
  <c r="S247" i="3"/>
  <c r="T247" i="3"/>
  <c r="U247" i="3"/>
  <c r="Q248" i="3"/>
  <c r="I248" i="3"/>
  <c r="R248" i="3"/>
  <c r="S248" i="3"/>
  <c r="T248" i="3"/>
  <c r="U248" i="3"/>
  <c r="Q249" i="3"/>
  <c r="I249" i="3"/>
  <c r="R249" i="3"/>
  <c r="S249" i="3"/>
  <c r="T249" i="3"/>
  <c r="U249" i="3"/>
  <c r="Q250" i="3"/>
  <c r="I250" i="3"/>
  <c r="R250" i="3"/>
  <c r="S250" i="3"/>
  <c r="T250" i="3"/>
  <c r="U250" i="3"/>
  <c r="Q251" i="3"/>
  <c r="I251" i="3"/>
  <c r="R251" i="3"/>
  <c r="S251" i="3"/>
  <c r="T251" i="3"/>
  <c r="U251" i="3"/>
  <c r="Q252" i="3"/>
  <c r="I252" i="3"/>
  <c r="R252" i="3"/>
  <c r="S252" i="3"/>
  <c r="T252" i="3"/>
  <c r="U252" i="3"/>
  <c r="Q253" i="3"/>
  <c r="I253" i="3"/>
  <c r="R253" i="3"/>
  <c r="S253" i="3"/>
  <c r="T253" i="3"/>
  <c r="U253" i="3"/>
  <c r="Q254" i="3"/>
  <c r="I254" i="3"/>
  <c r="R254" i="3"/>
  <c r="S254" i="3"/>
  <c r="T254" i="3"/>
  <c r="U254" i="3"/>
  <c r="Q255" i="3"/>
  <c r="I255" i="3"/>
  <c r="R255" i="3"/>
  <c r="S255" i="3"/>
  <c r="T255" i="3"/>
  <c r="U255" i="3"/>
  <c r="Q256" i="3"/>
  <c r="I256" i="3"/>
  <c r="R256" i="3"/>
  <c r="S256" i="3"/>
  <c r="T256" i="3"/>
  <c r="U256" i="3"/>
  <c r="Q257" i="3"/>
  <c r="I257" i="3"/>
  <c r="R257" i="3"/>
  <c r="S257" i="3"/>
  <c r="T257" i="3"/>
  <c r="U257" i="3"/>
  <c r="Q258" i="3"/>
  <c r="I258" i="3"/>
  <c r="R258" i="3"/>
  <c r="S258" i="3"/>
  <c r="T258" i="3"/>
  <c r="U258" i="3"/>
  <c r="Q259" i="3"/>
  <c r="I259" i="3"/>
  <c r="R259" i="3"/>
  <c r="S259" i="3"/>
  <c r="T259" i="3"/>
  <c r="U259" i="3"/>
  <c r="Q260" i="3"/>
  <c r="I260" i="3"/>
  <c r="R260" i="3"/>
  <c r="S260" i="3"/>
  <c r="T260" i="3"/>
  <c r="U260" i="3"/>
  <c r="Q261" i="3"/>
  <c r="I261" i="3"/>
  <c r="R261" i="3"/>
  <c r="S261" i="3"/>
  <c r="T261" i="3"/>
  <c r="U261" i="3"/>
  <c r="Q262" i="3"/>
  <c r="I262" i="3"/>
  <c r="R262" i="3"/>
  <c r="S262" i="3"/>
  <c r="T262" i="3"/>
  <c r="U262" i="3"/>
  <c r="Q263" i="3"/>
  <c r="I263" i="3"/>
  <c r="R263" i="3"/>
  <c r="S263" i="3"/>
  <c r="T263" i="3"/>
  <c r="U263" i="3"/>
  <c r="Q264" i="3"/>
  <c r="I264" i="3"/>
  <c r="R264" i="3"/>
  <c r="S264" i="3"/>
  <c r="T264" i="3"/>
  <c r="U264" i="3"/>
  <c r="Q265" i="3"/>
  <c r="I265" i="3"/>
  <c r="R265" i="3"/>
  <c r="S265" i="3"/>
  <c r="T265" i="3"/>
  <c r="U265" i="3"/>
  <c r="Q266" i="3"/>
  <c r="I266" i="3"/>
  <c r="R266" i="3"/>
  <c r="S266" i="3"/>
  <c r="T266" i="3"/>
  <c r="U266" i="3"/>
  <c r="Q267" i="3"/>
  <c r="I267" i="3"/>
  <c r="R267" i="3"/>
  <c r="S267" i="3"/>
  <c r="T267" i="3"/>
  <c r="U267" i="3"/>
  <c r="Q268" i="3"/>
  <c r="I268" i="3"/>
  <c r="R268" i="3"/>
  <c r="S268" i="3"/>
  <c r="T268" i="3"/>
  <c r="U268" i="3"/>
  <c r="Q269" i="3"/>
  <c r="I269" i="3"/>
  <c r="R269" i="3"/>
  <c r="S269" i="3"/>
  <c r="T269" i="3"/>
  <c r="U269" i="3"/>
  <c r="Q270" i="3"/>
  <c r="I270" i="3"/>
  <c r="R270" i="3"/>
  <c r="S270" i="3"/>
  <c r="T270" i="3"/>
  <c r="U270" i="3"/>
  <c r="Q271" i="3"/>
  <c r="I271" i="3"/>
  <c r="R271" i="3"/>
  <c r="S271" i="3"/>
  <c r="T271" i="3"/>
  <c r="U271" i="3"/>
  <c r="Q272" i="3"/>
  <c r="I272" i="3"/>
  <c r="R272" i="3"/>
  <c r="S272" i="3"/>
  <c r="T272" i="3"/>
  <c r="U272" i="3"/>
  <c r="Q273" i="3"/>
  <c r="I273" i="3"/>
  <c r="R273" i="3"/>
  <c r="S273" i="3"/>
  <c r="T273" i="3"/>
  <c r="U273" i="3"/>
  <c r="Q274" i="3"/>
  <c r="I274" i="3"/>
  <c r="R274" i="3"/>
  <c r="S274" i="3"/>
  <c r="T274" i="3"/>
  <c r="U274" i="3"/>
  <c r="Q275" i="3"/>
  <c r="I275" i="3"/>
  <c r="R275" i="3"/>
  <c r="S275" i="3"/>
  <c r="T275" i="3"/>
  <c r="U275" i="3"/>
  <c r="Q276" i="3"/>
  <c r="I276" i="3"/>
  <c r="R276" i="3"/>
  <c r="S276" i="3"/>
  <c r="T276" i="3"/>
  <c r="U276" i="3"/>
  <c r="Q277" i="3"/>
  <c r="I277" i="3"/>
  <c r="R277" i="3"/>
  <c r="S277" i="3"/>
  <c r="T277" i="3"/>
  <c r="U277" i="3"/>
  <c r="Q278" i="3"/>
  <c r="I278" i="3"/>
  <c r="R278" i="3"/>
  <c r="S278" i="3"/>
  <c r="T278" i="3"/>
  <c r="U278" i="3"/>
  <c r="Q279" i="3"/>
  <c r="I279" i="3"/>
  <c r="R279" i="3"/>
  <c r="S279" i="3"/>
  <c r="T279" i="3"/>
  <c r="U279" i="3"/>
  <c r="Q280" i="3"/>
  <c r="I280" i="3"/>
  <c r="R280" i="3"/>
  <c r="S280" i="3"/>
  <c r="T280" i="3"/>
  <c r="U280" i="3"/>
  <c r="Q281" i="3"/>
  <c r="I281" i="3"/>
  <c r="R281" i="3"/>
  <c r="S281" i="3"/>
  <c r="T281" i="3"/>
  <c r="U281" i="3"/>
  <c r="Q282" i="3"/>
  <c r="I282" i="3"/>
  <c r="R282" i="3"/>
  <c r="S282" i="3"/>
  <c r="T282" i="3"/>
  <c r="U282" i="3"/>
  <c r="Q283" i="3"/>
  <c r="I283" i="3"/>
  <c r="R283" i="3"/>
  <c r="S283" i="3"/>
  <c r="T283" i="3"/>
  <c r="U283" i="3"/>
  <c r="Q284" i="3"/>
  <c r="I284" i="3"/>
  <c r="R284" i="3"/>
  <c r="S284" i="3"/>
  <c r="T284" i="3"/>
  <c r="U284" i="3"/>
  <c r="Q285" i="3"/>
  <c r="I285" i="3"/>
  <c r="R285" i="3"/>
  <c r="S285" i="3"/>
  <c r="T285" i="3"/>
  <c r="U285" i="3"/>
  <c r="Q286" i="3"/>
  <c r="I286" i="3"/>
  <c r="R286" i="3"/>
  <c r="S286" i="3"/>
  <c r="T286" i="3"/>
  <c r="U286" i="3"/>
  <c r="Q287" i="3"/>
  <c r="I287" i="3"/>
  <c r="R287" i="3"/>
  <c r="S287" i="3"/>
  <c r="T287" i="3"/>
  <c r="U287" i="3"/>
  <c r="Q288" i="3"/>
  <c r="I288" i="3"/>
  <c r="R288" i="3"/>
  <c r="S288" i="3"/>
  <c r="T288" i="3"/>
  <c r="U288" i="3"/>
  <c r="Q289" i="3"/>
  <c r="I289" i="3"/>
  <c r="R289" i="3"/>
  <c r="S289" i="3"/>
  <c r="T289" i="3"/>
  <c r="U289" i="3"/>
  <c r="Q290" i="3"/>
  <c r="I290" i="3"/>
  <c r="R290" i="3"/>
  <c r="S290" i="3"/>
  <c r="T290" i="3"/>
  <c r="U290" i="3"/>
  <c r="Q291" i="3"/>
  <c r="I291" i="3"/>
  <c r="R291" i="3"/>
  <c r="S291" i="3"/>
  <c r="T291" i="3"/>
  <c r="U291" i="3"/>
  <c r="Q292" i="3"/>
  <c r="I292" i="3"/>
  <c r="R292" i="3"/>
  <c r="S292" i="3"/>
  <c r="T292" i="3"/>
  <c r="U292" i="3"/>
  <c r="Q293" i="3"/>
  <c r="I293" i="3"/>
  <c r="R293" i="3"/>
  <c r="S293" i="3"/>
  <c r="T293" i="3"/>
  <c r="U293" i="3"/>
  <c r="Q294" i="3"/>
  <c r="I294" i="3"/>
  <c r="R294" i="3"/>
  <c r="S294" i="3"/>
  <c r="T294" i="3"/>
  <c r="U294" i="3"/>
  <c r="Q295" i="3"/>
  <c r="I295" i="3"/>
  <c r="R295" i="3"/>
  <c r="S295" i="3"/>
  <c r="T295" i="3"/>
  <c r="U295" i="3"/>
  <c r="Q296" i="3"/>
  <c r="I296" i="3"/>
  <c r="R296" i="3"/>
  <c r="S296" i="3"/>
  <c r="T296" i="3"/>
  <c r="U296" i="3"/>
  <c r="Q297" i="3"/>
  <c r="I297" i="3"/>
  <c r="R297" i="3"/>
  <c r="S297" i="3"/>
  <c r="T297" i="3"/>
  <c r="U297" i="3"/>
  <c r="Q298" i="3"/>
  <c r="I298" i="3"/>
  <c r="R298" i="3"/>
  <c r="S298" i="3"/>
  <c r="T298" i="3"/>
  <c r="U298" i="3"/>
  <c r="Q299" i="3"/>
  <c r="I299" i="3"/>
  <c r="R299" i="3"/>
  <c r="S299" i="3"/>
  <c r="T299" i="3"/>
  <c r="U299" i="3"/>
  <c r="Q300" i="3"/>
  <c r="I300" i="3"/>
  <c r="R300" i="3"/>
  <c r="S300" i="3"/>
  <c r="T300" i="3"/>
  <c r="U300" i="3"/>
  <c r="Q301" i="3"/>
  <c r="I301" i="3"/>
  <c r="R301" i="3"/>
  <c r="S301" i="3"/>
  <c r="T301" i="3"/>
  <c r="U301" i="3"/>
  <c r="Q302" i="3"/>
  <c r="I302" i="3"/>
  <c r="R302" i="3"/>
  <c r="S302" i="3"/>
  <c r="T302" i="3"/>
  <c r="U302" i="3"/>
  <c r="Q303" i="3"/>
  <c r="I303" i="3"/>
  <c r="R303" i="3"/>
  <c r="S303" i="3"/>
  <c r="T303" i="3"/>
  <c r="U303" i="3"/>
  <c r="Q304" i="3"/>
  <c r="I304" i="3"/>
  <c r="R304" i="3"/>
  <c r="S304" i="3"/>
  <c r="T304" i="3"/>
  <c r="U304" i="3"/>
  <c r="Q305" i="3"/>
  <c r="I305" i="3"/>
  <c r="R305" i="3"/>
  <c r="S305" i="3"/>
  <c r="T305" i="3"/>
  <c r="U305" i="3"/>
  <c r="Q306" i="3"/>
  <c r="I306" i="3"/>
  <c r="R306" i="3"/>
  <c r="S306" i="3"/>
  <c r="T306" i="3"/>
  <c r="U306" i="3"/>
  <c r="Q307" i="3"/>
  <c r="I307" i="3"/>
  <c r="R307" i="3"/>
  <c r="S307" i="3"/>
  <c r="T307" i="3"/>
  <c r="U307" i="3"/>
  <c r="Q308" i="3"/>
  <c r="I308" i="3"/>
  <c r="R308" i="3"/>
  <c r="S308" i="3"/>
  <c r="T308" i="3"/>
  <c r="U308" i="3"/>
  <c r="Q309" i="3"/>
  <c r="I309" i="3"/>
  <c r="R309" i="3"/>
  <c r="S309" i="3"/>
  <c r="T309" i="3"/>
  <c r="U309" i="3"/>
  <c r="Q310" i="3"/>
  <c r="I310" i="3"/>
  <c r="R310" i="3"/>
  <c r="S310" i="3"/>
  <c r="T310" i="3"/>
  <c r="U310" i="3"/>
  <c r="Q311" i="3"/>
  <c r="I311" i="3"/>
  <c r="R311" i="3"/>
  <c r="S311" i="3"/>
  <c r="T311" i="3"/>
  <c r="U311" i="3"/>
  <c r="Q312" i="3"/>
  <c r="I312" i="3"/>
  <c r="R312" i="3"/>
  <c r="S312" i="3"/>
  <c r="T312" i="3"/>
  <c r="U312" i="3"/>
  <c r="Q313" i="3"/>
  <c r="I313" i="3"/>
  <c r="R313" i="3"/>
  <c r="S313" i="3"/>
  <c r="T313" i="3"/>
  <c r="U313" i="3"/>
  <c r="Q314" i="3"/>
  <c r="I314" i="3"/>
  <c r="R314" i="3"/>
  <c r="S314" i="3"/>
  <c r="T314" i="3"/>
  <c r="U314" i="3"/>
  <c r="Q315" i="3"/>
  <c r="I315" i="3"/>
  <c r="R315" i="3"/>
  <c r="S315" i="3"/>
  <c r="T315" i="3"/>
  <c r="U315" i="3"/>
  <c r="Q316" i="3"/>
  <c r="I316" i="3"/>
  <c r="R316" i="3"/>
  <c r="S316" i="3"/>
  <c r="T316" i="3"/>
  <c r="U316" i="3"/>
  <c r="Q317" i="3"/>
  <c r="I317" i="3"/>
  <c r="R317" i="3"/>
  <c r="S317" i="3"/>
  <c r="T317" i="3"/>
  <c r="U317" i="3"/>
  <c r="Q318" i="3"/>
  <c r="I318" i="3"/>
  <c r="R318" i="3"/>
  <c r="S318" i="3"/>
  <c r="T318" i="3"/>
  <c r="U318" i="3"/>
  <c r="Q319" i="3"/>
  <c r="I319" i="3"/>
  <c r="R319" i="3"/>
  <c r="S319" i="3"/>
  <c r="T319" i="3"/>
  <c r="U319" i="3"/>
  <c r="Q320" i="3"/>
  <c r="I320" i="3"/>
  <c r="R320" i="3"/>
  <c r="S320" i="3"/>
  <c r="T320" i="3"/>
  <c r="U320" i="3"/>
  <c r="Q321" i="3"/>
  <c r="I321" i="3"/>
  <c r="R321" i="3"/>
  <c r="S321" i="3"/>
  <c r="T321" i="3"/>
  <c r="U321" i="3"/>
  <c r="U2" i="3"/>
  <c r="T2" i="3"/>
  <c r="S2" i="3"/>
  <c r="R2" i="3"/>
  <c r="I2" i="3"/>
  <c r="Q2" i="3"/>
</calcChain>
</file>

<file path=xl/sharedStrings.xml><?xml version="1.0" encoding="utf-8"?>
<sst xmlns="http://schemas.openxmlformats.org/spreadsheetml/2006/main" count="3047" uniqueCount="153">
  <si>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</si>
  <si>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</si>
  <si>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</si>
  <si>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</si>
  <si>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</si>
  <si>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</si>
  <si>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</si>
  <si>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</si>
  <si>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</si>
  <si>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</si>
  <si>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</si>
  <si>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</si>
  <si>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</si>
  <si>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</si>
  <si>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</si>
  <si>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</si>
  <si>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</si>
  <si>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</si>
  <si>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</si>
  <si>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</si>
  <si>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</si>
  <si>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</si>
  <si>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</si>
  <si>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</si>
  <si>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</si>
  <si>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</si>
  <si>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</si>
  <si>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</si>
  <si>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</si>
  <si>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</si>
  <si>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</si>
  <si>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</si>
  <si>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</si>
  <si>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</si>
  <si>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</si>
  <si>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</si>
  <si>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</si>
  <si>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</si>
  <si>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</si>
  <si>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</si>
  <si>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</si>
  <si>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</si>
  <si>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</si>
  <si>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</si>
  <si>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</si>
  <si>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</si>
  <si>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</si>
  <si>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</si>
  <si>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</si>
  <si>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</si>
  <si>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</si>
  <si>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</si>
  <si>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</si>
  <si>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</si>
  <si>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</si>
  <si>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</si>
  <si>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</si>
  <si>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</si>
  <si>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</si>
  <si>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</si>
  <si>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</si>
  <si>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</si>
  <si>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</si>
  <si>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</si>
  <si>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</si>
  <si>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</si>
  <si>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</si>
  <si>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</si>
  <si>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</si>
  <si>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</si>
  <si>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</si>
  <si>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</si>
  <si>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</si>
  <si>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</si>
  <si>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</si>
  <si>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</si>
  <si>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</si>
  <si>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</si>
  <si>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</si>
  <si>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</si>
  <si>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</si>
  <si>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</si>
  <si>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</si>
  <si>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</si>
  <si>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</si>
  <si>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</si>
  <si>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</si>
  <si>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</si>
  <si>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</si>
  <si>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</si>
  <si>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</si>
  <si>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</si>
  <si>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</si>
  <si>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</si>
  <si>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</si>
  <si>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</si>
  <si>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</si>
  <si>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</si>
  <si>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</si>
  <si>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</si>
  <si>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</si>
  <si>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</si>
  <si>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Row Labels</t>
  </si>
  <si>
    <t>Grand Total</t>
  </si>
  <si>
    <t>Region_East</t>
  </si>
  <si>
    <t>Region_North</t>
  </si>
  <si>
    <t>Region_South</t>
  </si>
  <si>
    <t>Store_Airport</t>
  </si>
  <si>
    <t>Store_HighStreet</t>
  </si>
  <si>
    <t>Store_Mall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</si>
  <si>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</si>
  <si>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</si>
  <si>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</si>
  <si>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</si>
  <si>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</si>
  <si>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</si>
  <si>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</si>
  <si>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</si>
  <si>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</si>
  <si>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</si>
  <si>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</si>
  <si>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</si>
  <si>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</si>
  <si>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</si>
  <si>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</si>
  <si>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</si>
  <si>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</si>
  <si>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</si>
  <si>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</si>
  <si>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</si>
  <si>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</si>
  <si>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</si>
  <si>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</si>
  <si>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</si>
  <si>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Model</t>
  </si>
  <si>
    <t>Dependent Variable</t>
  </si>
  <si>
    <t>Independent Variables</t>
  </si>
  <si>
    <t>R²</t>
  </si>
  <si>
    <t>Significant Variables</t>
  </si>
  <si>
    <t>Business Usefulness</t>
  </si>
  <si>
    <t>Simple Model 1</t>
  </si>
  <si>
    <t>Monthly Sales</t>
  </si>
  <si>
    <t>Marketing Spend</t>
  </si>
  <si>
    <t>Weak to Moderate</t>
  </si>
  <si>
    <t>Simple Model 2</t>
  </si>
  <si>
    <t>Footfall</t>
  </si>
  <si>
    <t>Strong</t>
  </si>
  <si>
    <t>Multiple Regression</t>
  </si>
  <si>
    <t>Marketing Spend, Footfall, Avg Discount Pct, Inventory Availability Pct, Region_North</t>
  </si>
  <si>
    <t>Marketing Spend, Footfall, Inventory Availability Pct</t>
  </si>
  <si>
    <t>Very Strong</t>
  </si>
  <si>
    <t>Actual Sales</t>
  </si>
  <si>
    <t>Predicted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</si>
</sst>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1" fillId="3" borderId="0" xfId="0" applyFont="1" applyFill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 Roy" refreshedDate="46195.519529166668" createdVersion="6" refreshedVersion="6" minRefreshableVersion="3" recordCount="320" xr:uid="{B95BE296-C1F1-4370-AB1B-953FC9D7AF0C}">
  <cacheSource type="worksheet">
    <worksheetSource ref="A1:N321" sheet="cleaned_data"/>
  </cacheSource>
  <cacheFields count="14">
    <cacheField name="store_id" numFmtId="0">
      <sharedItems/>
    </cacheField>
    <cacheField name="month" numFmtId="164">
      <sharedItems containsSemiMixedTypes="0" containsNonDate="0" containsDate="1" containsString="0" minDate="2025-01-01T00:00:00" maxDate="2025-04-02T00:00:00"/>
    </cacheField>
    <cacheField name="region" numFmtId="0">
      <sharedItems count="4">
        <s v="East"/>
        <s v="North"/>
        <s v="South"/>
        <s v="West"/>
      </sharedItems>
    </cacheField>
    <cacheField name="store_type" numFmtId="0">
      <sharedItems/>
    </cacheField>
    <cacheField name="marketing_spend" numFmtId="0">
      <sharedItems containsSemiMixedTypes="0" containsString="0" containsNumber="1" minValue="9534.65" maxValue="172415.52"/>
    </cacheField>
    <cacheField name="footfall" numFmtId="0">
      <sharedItems containsSemiMixedTypes="0" containsString="0" containsNumber="1" containsInteger="1" minValue="971" maxValue="12870"/>
    </cacheField>
    <cacheField name="avg_discount_pct" numFmtId="0">
      <sharedItems containsSemiMixedTypes="0" containsString="0" containsNumber="1" minValue="0" maxValue="0.29199999999999998"/>
    </cacheField>
    <cacheField name="staff_count" numFmtId="0">
      <sharedItems containsSemiMixedTypes="0" containsString="0" containsNumber="1" containsInteger="1" minValue="5" maxValue="31"/>
    </cacheField>
    <cacheField name="inventory_availability_pct" numFmtId="0">
      <sharedItems containsSemiMixedTypes="0" containsString="0" containsNumber="1" minValue="71" maxValue="99"/>
    </cacheField>
    <cacheField name="competitor_distance_km" numFmtId="0">
      <sharedItems containsString="0" containsBlank="1" containsNumber="1" minValue="0.2" maxValue="22.02"/>
    </cacheField>
    <cacheField name="holiday_flag" numFmtId="0">
      <sharedItems containsSemiMixedTypes="0" containsString="0" containsNumber="1" containsInteger="1" minValue="0" maxValue="1"/>
    </cacheField>
    <cacheField name="customer_rating" numFmtId="0">
      <sharedItems containsString="0" containsBlank="1" containsNumber="1" minValue="2.8" maxValue="5"/>
    </cacheField>
    <cacheField name="monthly_sales" numFmtId="0">
      <sharedItems containsSemiMixedTypes="0" containsString="0" containsNumber="1" minValue="400831.65" maxValue="946833.54"/>
    </cacheField>
    <cacheField name="monthly_profit" numFmtId="0">
      <sharedItems containsSemiMixedTypes="0" containsString="0" containsNumber="1" minValue="53544.36" maxValue="200575.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 Roy" refreshedDate="46195.520190393516" createdVersion="6" refreshedVersion="6" minRefreshableVersion="3" recordCount="320" xr:uid="{D6E4794D-287A-488A-A243-875E74C61C4C}">
  <cacheSource type="worksheet">
    <worksheetSource ref="A1:N321" sheet="store_performance"/>
  </cacheSource>
  <cacheFields count="14">
    <cacheField name="store_id" numFmtId="0">
      <sharedItems/>
    </cacheField>
    <cacheField name="month" numFmtId="164">
      <sharedItems containsSemiMixedTypes="0" containsNonDate="0" containsDate="1" containsString="0" minDate="2025-01-01T00:00:00" maxDate="2025-04-02T00:00:00"/>
    </cacheField>
    <cacheField name="region" numFmtId="0">
      <sharedItems/>
    </cacheField>
    <cacheField name="store_type" numFmtId="0">
      <sharedItems count="4">
        <s v="Residential"/>
        <s v="High Street"/>
        <s v="Airport"/>
        <s v="Mall"/>
      </sharedItems>
    </cacheField>
    <cacheField name="marketing_spend" numFmtId="0">
      <sharedItems containsSemiMixedTypes="0" containsString="0" containsNumber="1" minValue="9534.65" maxValue="172415.52"/>
    </cacheField>
    <cacheField name="footfall" numFmtId="0">
      <sharedItems containsSemiMixedTypes="0" containsString="0" containsNumber="1" containsInteger="1" minValue="971" maxValue="12870"/>
    </cacheField>
    <cacheField name="avg_discount_pct" numFmtId="0">
      <sharedItems containsSemiMixedTypes="0" containsString="0" containsNumber="1" minValue="0" maxValue="0.29199999999999998"/>
    </cacheField>
    <cacheField name="staff_count" numFmtId="0">
      <sharedItems containsSemiMixedTypes="0" containsString="0" containsNumber="1" containsInteger="1" minValue="5" maxValue="31"/>
    </cacheField>
    <cacheField name="inventory_availability_pct" numFmtId="0">
      <sharedItems containsSemiMixedTypes="0" containsString="0" containsNumber="1" minValue="71" maxValue="99"/>
    </cacheField>
    <cacheField name="competitor_distance_km" numFmtId="0">
      <sharedItems containsString="0" containsBlank="1" containsNumber="1" minValue="0.2" maxValue="22.02"/>
    </cacheField>
    <cacheField name="holiday_flag" numFmtId="0">
      <sharedItems containsSemiMixedTypes="0" containsString="0" containsNumber="1" containsInteger="1" minValue="0" maxValue="1"/>
    </cacheField>
    <cacheField name="customer_rating" numFmtId="0">
      <sharedItems containsString="0" containsBlank="1" containsNumber="1" minValue="2.8" maxValue="5"/>
    </cacheField>
    <cacheField name="monthly_sales" numFmtId="0">
      <sharedItems containsSemiMixedTypes="0" containsString="0" containsNumber="1" minValue="400831.65" maxValue="946833.54"/>
    </cacheField>
    <cacheField name="monthly_profit" numFmtId="0">
      <sharedItems containsSemiMixedTypes="0" containsString="0" containsNumber="1" minValue="53544.36" maxValue="200575.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STR-1001"/>
    <d v="2025-01-01T00:00:00"/>
    <x v="0"/>
    <s v="Residential"/>
    <n v="70389.11"/>
    <n v="8302"/>
    <n v="4.2000000000000003E-2"/>
    <n v="17"/>
    <n v="75"/>
    <n v="5.28"/>
    <n v="1"/>
    <n v="3.1"/>
    <n v="658832.62"/>
    <n v="84349.93"/>
  </r>
  <r>
    <s v="STR-1001"/>
    <d v="2025-02-01T00:00:00"/>
    <x v="0"/>
    <s v="Residential"/>
    <n v="43827.89"/>
    <n v="8487"/>
    <n v="0.16800000000000001"/>
    <n v="23"/>
    <n v="84.4"/>
    <n v="4.3099999999999996"/>
    <n v="0"/>
    <n v="2.8"/>
    <n v="634436"/>
    <n v="106130.54"/>
  </r>
  <r>
    <s v="STR-1001"/>
    <d v="2025-03-01T00:00:00"/>
    <x v="0"/>
    <s v="Residential"/>
    <n v="59921.75"/>
    <n v="9113"/>
    <n v="0.13300000000000001"/>
    <n v="20"/>
    <n v="88"/>
    <n v="12"/>
    <n v="0"/>
    <n v="3.2"/>
    <n v="678722.06"/>
    <n v="101883.86"/>
  </r>
  <r>
    <s v="STR-1001"/>
    <d v="2025-04-01T00:00:00"/>
    <x v="0"/>
    <s v="Residential"/>
    <n v="56856.63"/>
    <n v="9431"/>
    <n v="0.14199999999999999"/>
    <n v="23"/>
    <n v="86.9"/>
    <n v="4.97"/>
    <n v="0"/>
    <n v="3.4"/>
    <n v="658920.30000000005"/>
    <n v="97910.37"/>
  </r>
  <r>
    <s v="STR-1002"/>
    <d v="2025-01-01T00:00:00"/>
    <x v="0"/>
    <s v="High Street"/>
    <n v="48412.639999999999"/>
    <n v="9545"/>
    <n v="0.23100000000000001"/>
    <n v="21"/>
    <n v="97.6"/>
    <n v="6.94"/>
    <n v="1"/>
    <n v="4.2"/>
    <n v="741341.44"/>
    <n v="119208.17"/>
  </r>
  <r>
    <s v="STR-1002"/>
    <d v="2025-02-01T00:00:00"/>
    <x v="0"/>
    <s v="High Street"/>
    <n v="64811.21"/>
    <n v="9792"/>
    <n v="0.112"/>
    <n v="20"/>
    <n v="84.2"/>
    <n v="2.88"/>
    <n v="0"/>
    <n v="4.2"/>
    <n v="761835.34"/>
    <n v="149602.23000000001"/>
  </r>
  <r>
    <s v="STR-1002"/>
    <d v="2025-03-01T00:00:00"/>
    <x v="0"/>
    <s v="High Street"/>
    <n v="46213.45"/>
    <n v="10616"/>
    <n v="0.122"/>
    <n v="22"/>
    <n v="85.2"/>
    <n v="0.2"/>
    <n v="1"/>
    <n v="4.0999999999999996"/>
    <n v="806615.54"/>
    <n v="131364.62"/>
  </r>
  <r>
    <s v="STR-1002"/>
    <d v="2025-04-01T00:00:00"/>
    <x v="0"/>
    <s v="High Street"/>
    <n v="68148.52"/>
    <n v="8567"/>
    <n v="0.127"/>
    <n v="23"/>
    <n v="95.6"/>
    <n v="0.8"/>
    <n v="0"/>
    <n v="3.9"/>
    <n v="850164.26"/>
    <n v="149262.75"/>
  </r>
  <r>
    <s v="STR-1003"/>
    <d v="2025-01-01T00:00:00"/>
    <x v="1"/>
    <s v="Airport"/>
    <n v="71838.86"/>
    <n v="10979"/>
    <n v="0.215"/>
    <n v="26"/>
    <n v="88.6"/>
    <n v="7.7"/>
    <n v="1"/>
    <n v="3.8"/>
    <n v="930581.7"/>
    <n v="136207.98000000001"/>
  </r>
  <r>
    <s v="STR-1003"/>
    <d v="2025-02-01T00:00:00"/>
    <x v="1"/>
    <s v="Airport"/>
    <n v="68133.440000000002"/>
    <n v="9459"/>
    <n v="0.22"/>
    <n v="21"/>
    <n v="85"/>
    <n v="1.91"/>
    <n v="0"/>
    <n v="4.2"/>
    <n v="779010.94"/>
    <n v="106328.09"/>
  </r>
  <r>
    <s v="STR-1003"/>
    <d v="2025-03-01T00:00:00"/>
    <x v="1"/>
    <s v="Airport"/>
    <n v="34285.21"/>
    <n v="9172"/>
    <n v="0.21299999999999999"/>
    <n v="22"/>
    <n v="88.3"/>
    <n v="10.46"/>
    <n v="1"/>
    <n v="3.8"/>
    <n v="723060.76"/>
    <n v="123131.24"/>
  </r>
  <r>
    <s v="STR-1003"/>
    <d v="2025-04-01T00:00:00"/>
    <x v="1"/>
    <s v="Airport"/>
    <n v="67979.88"/>
    <n v="11230"/>
    <n v="2E-3"/>
    <n v="28"/>
    <n v="85.3"/>
    <n v="7.16"/>
    <n v="0"/>
    <n v="3.8"/>
    <n v="910791.94"/>
    <n v="158891.28"/>
  </r>
  <r>
    <s v="STR-1004"/>
    <d v="2025-01-01T00:00:00"/>
    <x v="0"/>
    <s v="Residential"/>
    <n v="71828.259999999995"/>
    <n v="12775"/>
    <n v="0.11600000000000001"/>
    <n v="30"/>
    <n v="81.7"/>
    <n v="4.24"/>
    <n v="1"/>
    <n v="4.2"/>
    <n v="922168.6"/>
    <n v="107494.53"/>
  </r>
  <r>
    <s v="STR-1004"/>
    <d v="2025-02-01T00:00:00"/>
    <x v="0"/>
    <s v="Residential"/>
    <n v="55716.82"/>
    <n v="10054"/>
    <n v="0.14599999999999999"/>
    <n v="24"/>
    <n v="84.9"/>
    <n v="1.06"/>
    <n v="0"/>
    <n v="4.3"/>
    <n v="726606.28"/>
    <n v="122729.29"/>
  </r>
  <r>
    <s v="STR-1004"/>
    <d v="2025-03-01T00:00:00"/>
    <x v="0"/>
    <s v="Residential"/>
    <n v="59909.51"/>
    <n v="8895"/>
    <n v="0.22800000000000001"/>
    <n v="23"/>
    <n v="88.8"/>
    <n v="0.27"/>
    <n v="0"/>
    <n v="4.3"/>
    <n v="746501.09"/>
    <n v="136816.72"/>
  </r>
  <r>
    <s v="STR-1004"/>
    <d v="2025-04-01T00:00:00"/>
    <x v="0"/>
    <s v="Residential"/>
    <n v="75305.710000000006"/>
    <n v="10940"/>
    <n v="6.0000000000000001E-3"/>
    <n v="26"/>
    <n v="76.5"/>
    <n v="1.32"/>
    <n v="0"/>
    <n v="4.5"/>
    <n v="834017.02"/>
    <n v="114745.03"/>
  </r>
  <r>
    <s v="STR-1005"/>
    <d v="2025-01-01T00:00:00"/>
    <x v="2"/>
    <s v="Residential"/>
    <n v="48804.22"/>
    <n v="7057"/>
    <n v="5.0000000000000001E-3"/>
    <n v="15"/>
    <n v="87.7"/>
    <n v="1.22"/>
    <n v="0"/>
    <n v="3.7"/>
    <n v="666152.52"/>
    <n v="107490.58"/>
  </r>
  <r>
    <s v="STR-1005"/>
    <d v="2025-02-01T00:00:00"/>
    <x v="2"/>
    <s v="Residential"/>
    <n v="59117.9"/>
    <n v="4263"/>
    <n v="0.11899999999999999"/>
    <n v="9"/>
    <n v="87.6"/>
    <n v="4.01"/>
    <n v="0"/>
    <n v="3.6"/>
    <n v="573155.18999999994"/>
    <n v="83680.75"/>
  </r>
  <r>
    <s v="STR-1005"/>
    <d v="2025-03-01T00:00:00"/>
    <x v="2"/>
    <s v="Residential"/>
    <n v="78831.12"/>
    <n v="5538"/>
    <n v="0"/>
    <n v="15"/>
    <n v="94.1"/>
    <n v="0.2"/>
    <n v="0"/>
    <n v="3.9"/>
    <n v="666573.19999999995"/>
    <n v="140641.01999999999"/>
  </r>
  <r>
    <s v="STR-1005"/>
    <d v="2025-04-01T00:00:00"/>
    <x v="2"/>
    <s v="Residential"/>
    <n v="41441.93"/>
    <n v="4865"/>
    <n v="0.158"/>
    <n v="16"/>
    <n v="88.3"/>
    <n v="0.5"/>
    <n v="0"/>
    <n v="4"/>
    <n v="591619.94999999995"/>
    <n v="99521.35"/>
  </r>
  <r>
    <s v="STR-1006"/>
    <d v="2025-01-01T00:00:00"/>
    <x v="1"/>
    <s v="Residential"/>
    <n v="30356.28"/>
    <n v="2822"/>
    <n v="0.23100000000000001"/>
    <n v="9"/>
    <n v="84.8"/>
    <n v="6.95"/>
    <n v="0"/>
    <n v="5"/>
    <n v="415721.82"/>
    <n v="61179.15"/>
  </r>
  <r>
    <s v="STR-1006"/>
    <d v="2025-02-01T00:00:00"/>
    <x v="1"/>
    <s v="Residential"/>
    <n v="33518.879999999997"/>
    <n v="2121"/>
    <n v="0.17599999999999999"/>
    <n v="8"/>
    <n v="88.5"/>
    <n v="0.2"/>
    <n v="0"/>
    <n v="5"/>
    <n v="491905.13"/>
    <n v="79212.259999999995"/>
  </r>
  <r>
    <s v="STR-1006"/>
    <d v="2025-03-01T00:00:00"/>
    <x v="1"/>
    <s v="Residential"/>
    <n v="42267.37"/>
    <n v="3364"/>
    <n v="0.16"/>
    <n v="13"/>
    <n v="82"/>
    <n v="1.61"/>
    <n v="1"/>
    <n v="4.5999999999999996"/>
    <n v="555929.4"/>
    <n v="115201.76"/>
  </r>
  <r>
    <s v="STR-1006"/>
    <d v="2025-04-01T00:00:00"/>
    <x v="1"/>
    <s v="Residential"/>
    <n v="62060.43"/>
    <n v="2613"/>
    <n v="0.216"/>
    <n v="12"/>
    <n v="92.1"/>
    <n v="1.55"/>
    <n v="0"/>
    <n v="4.7"/>
    <n v="565810.99"/>
    <n v="77825.460000000006"/>
  </r>
  <r>
    <s v="STR-1007"/>
    <d v="2025-01-01T00:00:00"/>
    <x v="3"/>
    <s v="Mall"/>
    <n v="57696.69"/>
    <n v="10218"/>
    <n v="0.121"/>
    <n v="25"/>
    <n v="94.8"/>
    <n v="2.99"/>
    <n v="0"/>
    <n v="3.5"/>
    <n v="811771.14"/>
    <n v="148756.24"/>
  </r>
  <r>
    <s v="STR-1007"/>
    <d v="2025-02-01T00:00:00"/>
    <x v="3"/>
    <s v="Mall"/>
    <n v="172415.52"/>
    <n v="8927"/>
    <n v="0.14000000000000001"/>
    <n v="22"/>
    <n v="86.2"/>
    <n v="7.04"/>
    <n v="0"/>
    <n v="3.9"/>
    <n v="800451.94"/>
    <n v="111572.29"/>
  </r>
  <r>
    <s v="STR-1007"/>
    <d v="2025-03-01T00:00:00"/>
    <x v="3"/>
    <s v="Mall"/>
    <n v="55270.52"/>
    <n v="9315"/>
    <n v="0.16900000000000001"/>
    <n v="23"/>
    <n v="91.9"/>
    <n v="4.9400000000000004"/>
    <n v="0"/>
    <n v="4"/>
    <n v="783672.82"/>
    <n v="112577.14"/>
  </r>
  <r>
    <s v="STR-1007"/>
    <d v="2025-04-01T00:00:00"/>
    <x v="3"/>
    <s v="Mall"/>
    <n v="52715.1"/>
    <n v="7223"/>
    <n v="0.122"/>
    <n v="16"/>
    <n v="84.2"/>
    <n v="16.149999999999999"/>
    <n v="0"/>
    <n v="3.7"/>
    <n v="701641.97"/>
    <n v="106111.86"/>
  </r>
  <r>
    <s v="STR-1008"/>
    <d v="2025-01-01T00:00:00"/>
    <x v="0"/>
    <s v="Residential"/>
    <n v="68600.62"/>
    <n v="3988"/>
    <n v="0.124"/>
    <n v="11"/>
    <n v="85"/>
    <n v="0.48"/>
    <n v="0"/>
    <n v="3.6"/>
    <n v="511844.41"/>
    <n v="72774.44"/>
  </r>
  <r>
    <s v="STR-1008"/>
    <d v="2025-02-01T00:00:00"/>
    <x v="0"/>
    <s v="Residential"/>
    <n v="63176.73"/>
    <n v="2390"/>
    <n v="0.216"/>
    <n v="9"/>
    <n v="87.5"/>
    <n v="0.31"/>
    <n v="0"/>
    <n v="3.1"/>
    <n v="537383.79"/>
    <n v="63773.27"/>
  </r>
  <r>
    <s v="STR-1008"/>
    <d v="2025-03-01T00:00:00"/>
    <x v="0"/>
    <s v="Residential"/>
    <n v="44970.080000000002"/>
    <n v="2471"/>
    <n v="0.13600000000000001"/>
    <n v="11"/>
    <n v="87.6"/>
    <n v="3.01"/>
    <n v="1"/>
    <n v="3.7"/>
    <n v="500173.02"/>
    <n v="70982.05"/>
  </r>
  <r>
    <s v="STR-1008"/>
    <d v="2025-04-01T00:00:00"/>
    <x v="0"/>
    <s v="Residential"/>
    <n v="69816.350000000006"/>
    <n v="971"/>
    <n v="0.16800000000000001"/>
    <n v="5"/>
    <n v="89.9"/>
    <n v="12.15"/>
    <n v="0"/>
    <n v="3.6"/>
    <n v="427917.38"/>
    <n v="81824.31"/>
  </r>
  <r>
    <s v="STR-1009"/>
    <d v="2025-01-01T00:00:00"/>
    <x v="1"/>
    <s v="Residential"/>
    <n v="54597.83"/>
    <n v="9429"/>
    <n v="0.188"/>
    <n v="21"/>
    <n v="83.3"/>
    <n v="11.71"/>
    <n v="0"/>
    <n v="4.2"/>
    <n v="641865.03"/>
    <n v="81342.58"/>
  </r>
  <r>
    <s v="STR-1009"/>
    <d v="2025-02-01T00:00:00"/>
    <x v="1"/>
    <s v="Residential"/>
    <n v="73771.91"/>
    <n v="11695"/>
    <n v="7.0000000000000007E-2"/>
    <n v="25"/>
    <n v="84.7"/>
    <n v="0.62"/>
    <n v="0"/>
    <m/>
    <n v="799477.76000000001"/>
    <n v="164974.41"/>
  </r>
  <r>
    <s v="STR-1009"/>
    <d v="2025-03-01T00:00:00"/>
    <x v="1"/>
    <s v="Residential"/>
    <n v="74413.88"/>
    <n v="9449"/>
    <n v="3.9E-2"/>
    <n v="23"/>
    <n v="92.1"/>
    <n v="2.12"/>
    <n v="0"/>
    <n v="3.5"/>
    <n v="798952.17"/>
    <n v="161499.04"/>
  </r>
  <r>
    <s v="STR-1009"/>
    <d v="2025-04-01T00:00:00"/>
    <x v="1"/>
    <s v="Residential"/>
    <n v="52483.77"/>
    <n v="10453"/>
    <n v="0.247"/>
    <n v="25"/>
    <n v="99"/>
    <n v="6.31"/>
    <n v="0"/>
    <n v="3.6"/>
    <n v="800979.78"/>
    <n v="149242.26999999999"/>
  </r>
  <r>
    <s v="STR-1010"/>
    <d v="2025-01-01T00:00:00"/>
    <x v="1"/>
    <s v="Mall"/>
    <n v="75269.87"/>
    <n v="8838"/>
    <n v="9.1999999999999998E-2"/>
    <n v="21"/>
    <n v="83.1"/>
    <n v="9.56"/>
    <n v="1"/>
    <n v="4.2"/>
    <n v="820593.93"/>
    <n v="115860.06"/>
  </r>
  <r>
    <s v="STR-1010"/>
    <d v="2025-02-01T00:00:00"/>
    <x v="1"/>
    <s v="Mall"/>
    <n v="61245.41"/>
    <n v="8156"/>
    <n v="0.156"/>
    <n v="19"/>
    <n v="92.9"/>
    <n v="9.0500000000000007"/>
    <n v="0"/>
    <n v="3.8"/>
    <n v="718330.53"/>
    <n v="93247.9"/>
  </r>
  <r>
    <s v="STR-1010"/>
    <d v="2025-03-01T00:00:00"/>
    <x v="1"/>
    <s v="Mall"/>
    <n v="93381.26"/>
    <n v="7562"/>
    <n v="0.19800000000000001"/>
    <n v="19"/>
    <n v="82.9"/>
    <n v="5.05"/>
    <n v="0"/>
    <n v="4"/>
    <n v="736633.4"/>
    <n v="115654.66"/>
  </r>
  <r>
    <s v="STR-1010"/>
    <d v="2025-04-01T00:00:00"/>
    <x v="1"/>
    <s v="Mall"/>
    <n v="65012.19"/>
    <n v="9598"/>
    <n v="8.5000000000000006E-2"/>
    <n v="24"/>
    <n v="98.3"/>
    <n v="0.89"/>
    <n v="0"/>
    <n v="3.8"/>
    <n v="828623.85"/>
    <n v="167320.51999999999"/>
  </r>
  <r>
    <s v="STR-1011"/>
    <d v="2025-01-01T00:00:00"/>
    <x v="0"/>
    <s v="Mall"/>
    <n v="40462.94"/>
    <n v="3660"/>
    <n v="0.218"/>
    <n v="11"/>
    <n v="95.2"/>
    <n v="5.57"/>
    <n v="0"/>
    <n v="4.4000000000000004"/>
    <n v="592195.85"/>
    <n v="92291.56"/>
  </r>
  <r>
    <s v="STR-1011"/>
    <d v="2025-02-01T00:00:00"/>
    <x v="0"/>
    <s v="Mall"/>
    <n v="46123.88"/>
    <n v="3227"/>
    <n v="0.14299999999999999"/>
    <n v="10"/>
    <n v="75.400000000000006"/>
    <n v="1.06"/>
    <n v="0"/>
    <n v="4.4000000000000004"/>
    <n v="532644.46"/>
    <n v="60681.32"/>
  </r>
  <r>
    <s v="STR-1011"/>
    <d v="2025-03-01T00:00:00"/>
    <x v="0"/>
    <s v="Mall"/>
    <n v="68077.539999999994"/>
    <n v="3360"/>
    <n v="0.128"/>
    <n v="14"/>
    <n v="88.2"/>
    <n v="1.24"/>
    <n v="1"/>
    <n v="4"/>
    <n v="657429.18000000005"/>
    <n v="88919.74"/>
  </r>
  <r>
    <s v="STR-1011"/>
    <d v="2025-04-01T00:00:00"/>
    <x v="0"/>
    <s v="Mall"/>
    <n v="64882.14"/>
    <n v="3642"/>
    <n v="1.9E-2"/>
    <n v="13"/>
    <n v="87.8"/>
    <n v="4.5199999999999996"/>
    <n v="0"/>
    <n v="4.2"/>
    <n v="605178"/>
    <n v="106958.74"/>
  </r>
  <r>
    <s v="STR-1012"/>
    <d v="2025-01-01T00:00:00"/>
    <x v="3"/>
    <s v="Residential"/>
    <n v="138855.51"/>
    <n v="5145"/>
    <n v="0.06"/>
    <n v="17"/>
    <n v="88.2"/>
    <n v="9.58"/>
    <n v="0"/>
    <n v="3.2"/>
    <n v="595467.6"/>
    <n v="104276.46"/>
  </r>
  <r>
    <s v="STR-1012"/>
    <d v="2025-02-01T00:00:00"/>
    <x v="3"/>
    <s v="Residential"/>
    <n v="63630.21"/>
    <n v="4460"/>
    <n v="0.23499999999999999"/>
    <n v="14"/>
    <n v="98.6"/>
    <n v="5.52"/>
    <n v="0"/>
    <n v="3.5"/>
    <n v="599603.4"/>
    <n v="112685.12"/>
  </r>
  <r>
    <s v="STR-1012"/>
    <d v="2025-03-01T00:00:00"/>
    <x v="3"/>
    <s v="Residential"/>
    <n v="50043.65"/>
    <n v="3804"/>
    <n v="0.113"/>
    <n v="11"/>
    <n v="90.9"/>
    <n v="2.7"/>
    <n v="1"/>
    <n v="3.2"/>
    <n v="614800.09"/>
    <n v="100044.2"/>
  </r>
  <r>
    <s v="STR-1012"/>
    <d v="2025-04-01T00:00:00"/>
    <x v="3"/>
    <s v="Residential"/>
    <n v="42093.84"/>
    <n v="4074"/>
    <n v="0.155"/>
    <n v="15"/>
    <n v="88"/>
    <n v="9.64"/>
    <n v="0"/>
    <n v="3.3"/>
    <n v="585365.73"/>
    <n v="81011.520000000004"/>
  </r>
  <r>
    <s v="STR-1013"/>
    <d v="2025-01-01T00:00:00"/>
    <x v="1"/>
    <s v="Mall"/>
    <n v="46624.05"/>
    <n v="5104"/>
    <n v="0.109"/>
    <n v="11"/>
    <n v="97.3"/>
    <n v="3.49"/>
    <n v="1"/>
    <n v="4.7"/>
    <n v="622811.74"/>
    <n v="109978.35"/>
  </r>
  <r>
    <s v="STR-1013"/>
    <d v="2025-02-01T00:00:00"/>
    <x v="1"/>
    <s v="Mall"/>
    <n v="49710.29"/>
    <n v="5559"/>
    <n v="0.218"/>
    <n v="14"/>
    <n v="71"/>
    <n v="9.11"/>
    <n v="0"/>
    <n v="4.5999999999999996"/>
    <n v="603297.56999999995"/>
    <n v="60592.26"/>
  </r>
  <r>
    <s v="STR-1013"/>
    <d v="2025-03-01T00:00:00"/>
    <x v="1"/>
    <s v="Mall"/>
    <n v="48287.85"/>
    <n v="5150"/>
    <n v="8.0000000000000002E-3"/>
    <n v="12"/>
    <n v="80.400000000000006"/>
    <n v="7.4"/>
    <n v="0"/>
    <n v="4.5"/>
    <n v="625672.86"/>
    <n v="118020.12"/>
  </r>
  <r>
    <s v="STR-1013"/>
    <d v="2025-04-01T00:00:00"/>
    <x v="1"/>
    <s v="Mall"/>
    <n v="65312.49"/>
    <n v="7189"/>
    <n v="0.05"/>
    <n v="19"/>
    <n v="93.7"/>
    <n v="7.16"/>
    <n v="0"/>
    <n v="4.5999999999999996"/>
    <n v="773815.14"/>
    <n v="133948.39000000001"/>
  </r>
  <r>
    <s v="STR-1014"/>
    <d v="2025-01-01T00:00:00"/>
    <x v="3"/>
    <s v="High Street"/>
    <n v="53015.46"/>
    <n v="3279"/>
    <n v="8.6999999999999994E-2"/>
    <n v="9"/>
    <n v="84.3"/>
    <n v="22.02"/>
    <n v="0"/>
    <n v="3.9"/>
    <n v="463534.25"/>
    <n v="81834.539999999994"/>
  </r>
  <r>
    <s v="STR-1014"/>
    <d v="2025-02-01T00:00:00"/>
    <x v="3"/>
    <s v="High Street"/>
    <n v="99874.01"/>
    <n v="5887"/>
    <n v="0.26200000000000001"/>
    <n v="14"/>
    <n v="88.7"/>
    <n v="6.18"/>
    <n v="0"/>
    <n v="4.7"/>
    <n v="746677.75"/>
    <n v="122437.84"/>
  </r>
  <r>
    <s v="STR-1014"/>
    <d v="2025-03-01T00:00:00"/>
    <x v="3"/>
    <s v="High Street"/>
    <n v="81195.5"/>
    <n v="5516"/>
    <n v="0.106"/>
    <n v="14"/>
    <n v="88"/>
    <n v="1.76"/>
    <n v="0"/>
    <n v="4.3"/>
    <n v="720852.5"/>
    <n v="98565.62"/>
  </r>
  <r>
    <s v="STR-1014"/>
    <d v="2025-04-01T00:00:00"/>
    <x v="3"/>
    <s v="High Street"/>
    <n v="27808.6"/>
    <n v="2863"/>
    <n v="0.08"/>
    <n v="13"/>
    <n v="89.3"/>
    <n v="0.47"/>
    <n v="0"/>
    <n v="4.0999999999999996"/>
    <n v="487464.91"/>
    <n v="64562.26"/>
  </r>
  <r>
    <s v="STR-1015"/>
    <d v="2025-01-01T00:00:00"/>
    <x v="0"/>
    <s v="Airport"/>
    <n v="19365.060000000001"/>
    <n v="2378"/>
    <n v="0"/>
    <n v="12"/>
    <n v="94.8"/>
    <n v="0.2"/>
    <n v="0"/>
    <n v="3.5"/>
    <n v="518049.26"/>
    <n v="108592.49"/>
  </r>
  <r>
    <s v="STR-1015"/>
    <d v="2025-02-01T00:00:00"/>
    <x v="0"/>
    <s v="Airport"/>
    <n v="59405.68"/>
    <n v="2515"/>
    <n v="3.9E-2"/>
    <n v="12"/>
    <n v="76"/>
    <n v="5.1100000000000003"/>
    <n v="0"/>
    <n v="3.7"/>
    <n v="500298.48"/>
    <n v="73461.320000000007"/>
  </r>
  <r>
    <s v="STR-1015"/>
    <d v="2025-03-01T00:00:00"/>
    <x v="0"/>
    <s v="Airport"/>
    <n v="118910.48"/>
    <n v="4022"/>
    <n v="0.13700000000000001"/>
    <n v="11"/>
    <n v="87.1"/>
    <n v="0.2"/>
    <n v="0"/>
    <n v="3.1"/>
    <n v="617291.15"/>
    <n v="117782"/>
  </r>
  <r>
    <s v="STR-1015"/>
    <d v="2025-04-01T00:00:00"/>
    <x v="0"/>
    <s v="Airport"/>
    <n v="52952.12"/>
    <n v="4377"/>
    <n v="9.1999999999999998E-2"/>
    <n v="14"/>
    <n v="88.6"/>
    <n v="13.59"/>
    <n v="0"/>
    <n v="3.1"/>
    <n v="553756.43000000005"/>
    <n v="86166.77"/>
  </r>
  <r>
    <s v="STR-1016"/>
    <d v="2025-01-01T00:00:00"/>
    <x v="2"/>
    <s v="High Street"/>
    <n v="74907.98"/>
    <n v="5306"/>
    <n v="6.2E-2"/>
    <n v="16"/>
    <n v="95.6"/>
    <n v="1.02"/>
    <n v="0"/>
    <n v="3.7"/>
    <n v="749559.71"/>
    <n v="144522.53"/>
  </r>
  <r>
    <s v="STR-1016"/>
    <d v="2025-02-01T00:00:00"/>
    <x v="2"/>
    <s v="High Street"/>
    <n v="37284.660000000003"/>
    <n v="3928"/>
    <n v="7.3999999999999996E-2"/>
    <n v="12"/>
    <n v="86.5"/>
    <n v="1.64"/>
    <n v="0"/>
    <n v="3.8"/>
    <n v="615966.48"/>
    <n v="91509.38"/>
  </r>
  <r>
    <s v="STR-1016"/>
    <d v="2025-03-01T00:00:00"/>
    <x v="2"/>
    <s v="High Street"/>
    <n v="50343.19"/>
    <n v="3845"/>
    <n v="0.113"/>
    <n v="9"/>
    <n v="88.7"/>
    <n v="5.15"/>
    <n v="0"/>
    <n v="3.3"/>
    <n v="572011.19999999995"/>
    <n v="101409.68"/>
  </r>
  <r>
    <s v="STR-1016"/>
    <d v="2025-04-01T00:00:00"/>
    <x v="2"/>
    <s v="High Street"/>
    <n v="74954.47"/>
    <n v="6620"/>
    <n v="5.3999999999999999E-2"/>
    <n v="17"/>
    <n v="91.1"/>
    <n v="1.1100000000000001"/>
    <n v="0"/>
    <n v="3.5"/>
    <n v="761860.19"/>
    <n v="133279.38"/>
  </r>
  <r>
    <s v="STR-1017"/>
    <d v="2025-01-01T00:00:00"/>
    <x v="3"/>
    <s v="High Street"/>
    <n v="70040.31"/>
    <n v="9175"/>
    <n v="0.107"/>
    <n v="23"/>
    <n v="95.1"/>
    <n v="6.08"/>
    <n v="1"/>
    <n v="3.4"/>
    <n v="784502.68"/>
    <n v="129519.72"/>
  </r>
  <r>
    <s v="STR-1017"/>
    <d v="2025-02-01T00:00:00"/>
    <x v="3"/>
    <s v="High Street"/>
    <n v="51148.69"/>
    <n v="7940"/>
    <n v="0.156"/>
    <n v="18"/>
    <n v="93.3"/>
    <n v="10.91"/>
    <n v="0"/>
    <n v="3.6"/>
    <n v="717141.55"/>
    <n v="134013.60999999999"/>
  </r>
  <r>
    <s v="STR-1017"/>
    <d v="2025-03-01T00:00:00"/>
    <x v="3"/>
    <s v="High Street"/>
    <n v="79346.100000000006"/>
    <n v="9628"/>
    <n v="0.10199999999999999"/>
    <n v="20"/>
    <n v="99"/>
    <n v="19.010000000000002"/>
    <n v="1"/>
    <n v="3.2"/>
    <n v="685379.08"/>
    <n v="106898.82"/>
  </r>
  <r>
    <s v="STR-1017"/>
    <d v="2025-04-01T00:00:00"/>
    <x v="3"/>
    <s v="High Street"/>
    <n v="42018.400000000001"/>
    <n v="8296"/>
    <n v="0.115"/>
    <n v="17"/>
    <n v="91.8"/>
    <n v="0.77"/>
    <n v="0"/>
    <n v="3.4"/>
    <n v="740496.65"/>
    <n v="128020.9"/>
  </r>
  <r>
    <s v="STR-1018"/>
    <d v="2025-01-01T00:00:00"/>
    <x v="0"/>
    <s v="High Street"/>
    <n v="70937.240000000005"/>
    <n v="3595"/>
    <n v="0.14099999999999999"/>
    <n v="11"/>
    <n v="88.9"/>
    <n v="2.83"/>
    <n v="1"/>
    <n v="3.3"/>
    <n v="661927.14"/>
    <n v="79218.570000000007"/>
  </r>
  <r>
    <s v="STR-1018"/>
    <d v="2025-02-01T00:00:00"/>
    <x v="0"/>
    <s v="High Street"/>
    <n v="36813.449999999997"/>
    <n v="2834"/>
    <n v="0.191"/>
    <n v="11"/>
    <n v="81.8"/>
    <n v="2.33"/>
    <n v="0"/>
    <n v="3.3"/>
    <n v="479050.5"/>
    <n v="53651.11"/>
  </r>
  <r>
    <s v="STR-1018"/>
    <d v="2025-03-01T00:00:00"/>
    <x v="0"/>
    <s v="High Street"/>
    <n v="60571.82"/>
    <n v="3193"/>
    <n v="0.19700000000000001"/>
    <n v="7"/>
    <n v="99"/>
    <n v="1.43"/>
    <n v="0"/>
    <n v="3.2"/>
    <n v="605023.87"/>
    <n v="98545.81"/>
  </r>
  <r>
    <s v="STR-1018"/>
    <d v="2025-04-01T00:00:00"/>
    <x v="0"/>
    <s v="High Street"/>
    <n v="55081.16"/>
    <n v="5485"/>
    <n v="3.5999999999999997E-2"/>
    <n v="12"/>
    <n v="88"/>
    <m/>
    <n v="0"/>
    <n v="3.5"/>
    <n v="674774.09"/>
    <n v="141917.59"/>
  </r>
  <r>
    <s v="STR-1019"/>
    <d v="2025-01-01T00:00:00"/>
    <x v="0"/>
    <s v="Residential"/>
    <n v="46201.46"/>
    <n v="5918"/>
    <n v="0.27700000000000002"/>
    <n v="13"/>
    <n v="78.8"/>
    <n v="4.91"/>
    <n v="0"/>
    <n v="4.5"/>
    <n v="616069.41"/>
    <n v="54453.99"/>
  </r>
  <r>
    <s v="STR-1019"/>
    <d v="2025-02-01T00:00:00"/>
    <x v="0"/>
    <s v="Residential"/>
    <n v="53762.92"/>
    <n v="6821"/>
    <n v="6.6000000000000003E-2"/>
    <n v="19"/>
    <n v="94.6"/>
    <n v="7.03"/>
    <n v="0"/>
    <n v="4.4000000000000004"/>
    <n v="630829.93999999994"/>
    <n v="117090.02"/>
  </r>
  <r>
    <s v="STR-1019"/>
    <d v="2025-03-01T00:00:00"/>
    <x v="0"/>
    <s v="Residential"/>
    <n v="70144.78"/>
    <n v="6806"/>
    <n v="0.17799999999999999"/>
    <n v="20"/>
    <n v="93.1"/>
    <n v="0.28000000000000003"/>
    <n v="1"/>
    <n v="4.3"/>
    <n v="788087.68"/>
    <n v="116803.42"/>
  </r>
  <r>
    <s v="STR-1019"/>
    <d v="2025-04-01T00:00:00"/>
    <x v="0"/>
    <s v="Residential"/>
    <n v="58749.63"/>
    <n v="8252"/>
    <n v="0.20300000000000001"/>
    <n v="20"/>
    <n v="85.2"/>
    <n v="3.61"/>
    <n v="0"/>
    <n v="4.5"/>
    <n v="680840.36"/>
    <n v="68007.679999999993"/>
  </r>
  <r>
    <s v="STR-1020"/>
    <d v="2025-01-01T00:00:00"/>
    <x v="2"/>
    <s v="High Street"/>
    <n v="56973.18"/>
    <n v="6662"/>
    <n v="0.1"/>
    <n v="15"/>
    <n v="77.7"/>
    <n v="7.52"/>
    <n v="1"/>
    <n v="3.2"/>
    <n v="643657.47"/>
    <n v="87022.45"/>
  </r>
  <r>
    <s v="STR-1020"/>
    <d v="2025-02-01T00:00:00"/>
    <x v="2"/>
    <s v="High Street"/>
    <n v="54872.82"/>
    <n v="5962"/>
    <n v="6.4000000000000001E-2"/>
    <n v="12"/>
    <n v="85.4"/>
    <n v="2.58"/>
    <n v="0"/>
    <n v="2.9"/>
    <n v="691112.6"/>
    <n v="109212.83"/>
  </r>
  <r>
    <s v="STR-1020"/>
    <d v="2025-03-01T00:00:00"/>
    <x v="2"/>
    <s v="High Street"/>
    <n v="80562.81"/>
    <n v="7470"/>
    <n v="0.17199999999999999"/>
    <n v="16"/>
    <n v="83.5"/>
    <n v="2.29"/>
    <n v="0"/>
    <n v="3.3"/>
    <n v="776922.17"/>
    <n v="150701.93"/>
  </r>
  <r>
    <s v="STR-1020"/>
    <d v="2025-04-01T00:00:00"/>
    <x v="2"/>
    <s v="High Street"/>
    <n v="77999.899999999994"/>
    <n v="5974"/>
    <n v="0.252"/>
    <n v="14"/>
    <n v="81.3"/>
    <n v="2.39"/>
    <n v="0"/>
    <n v="3.2"/>
    <n v="636561.34"/>
    <n v="93861.06"/>
  </r>
  <r>
    <s v="STR-1021"/>
    <d v="2025-01-01T00:00:00"/>
    <x v="3"/>
    <s v="Mall"/>
    <n v="60881.01"/>
    <n v="5410"/>
    <n v="0.17899999999999999"/>
    <n v="15"/>
    <n v="83.9"/>
    <n v="5.24"/>
    <n v="0"/>
    <n v="4.5999999999999996"/>
    <n v="621369.57999999996"/>
    <n v="85493.64"/>
  </r>
  <r>
    <s v="STR-1021"/>
    <d v="2025-02-01T00:00:00"/>
    <x v="3"/>
    <s v="Mall"/>
    <n v="60628.38"/>
    <n v="4451"/>
    <n v="9.5000000000000001E-2"/>
    <n v="10"/>
    <n v="89.6"/>
    <n v="3.17"/>
    <n v="0"/>
    <n v="4.5999999999999996"/>
    <n v="682208.01"/>
    <n v="110318.84"/>
  </r>
  <r>
    <s v="STR-1021"/>
    <d v="2025-03-01T00:00:00"/>
    <x v="3"/>
    <s v="Mall"/>
    <n v="72731.14"/>
    <n v="4644"/>
    <n v="8.4000000000000005E-2"/>
    <n v="15"/>
    <n v="87.1"/>
    <n v="2.66"/>
    <n v="0"/>
    <n v="4.5999999999999996"/>
    <n v="727241.86"/>
    <n v="155810.29999999999"/>
  </r>
  <r>
    <s v="STR-1021"/>
    <d v="2025-04-01T00:00:00"/>
    <x v="3"/>
    <s v="Mall"/>
    <n v="36475.71"/>
    <n v="3559"/>
    <n v="0.03"/>
    <n v="8"/>
    <n v="83.6"/>
    <n v="1.41"/>
    <n v="0"/>
    <n v="4.2"/>
    <n v="569100.78"/>
    <n v="104808.78"/>
  </r>
  <r>
    <s v="STR-1022"/>
    <d v="2025-01-01T00:00:00"/>
    <x v="3"/>
    <s v="High Street"/>
    <n v="55388.11"/>
    <n v="3091"/>
    <n v="0.108"/>
    <n v="7"/>
    <n v="85.4"/>
    <n v="7.34"/>
    <n v="0"/>
    <n v="4.9000000000000004"/>
    <n v="574436.29"/>
    <n v="80271.990000000005"/>
  </r>
  <r>
    <s v="STR-1022"/>
    <d v="2025-02-01T00:00:00"/>
    <x v="3"/>
    <s v="High Street"/>
    <n v="88443.77"/>
    <n v="4004"/>
    <n v="0.20599999999999999"/>
    <n v="11"/>
    <n v="91.9"/>
    <n v="5.95"/>
    <n v="0"/>
    <m/>
    <n v="611766.72"/>
    <n v="88275.61"/>
  </r>
  <r>
    <s v="STR-1022"/>
    <d v="2025-03-01T00:00:00"/>
    <x v="3"/>
    <s v="High Street"/>
    <n v="78231.91"/>
    <n v="3788"/>
    <n v="5.8999999999999997E-2"/>
    <n v="11"/>
    <n v="88.5"/>
    <n v="15.51"/>
    <n v="0"/>
    <n v="4.3"/>
    <n v="614596.31999999995"/>
    <n v="131199.41"/>
  </r>
  <r>
    <s v="STR-1022"/>
    <d v="2025-04-01T00:00:00"/>
    <x v="3"/>
    <s v="High Street"/>
    <n v="18996.32"/>
    <n v="1260"/>
    <n v="0.14499999999999999"/>
    <n v="9"/>
    <n v="86.4"/>
    <n v="4.3099999999999996"/>
    <n v="0"/>
    <n v="4.5999999999999996"/>
    <n v="450711.92"/>
    <n v="90043.76"/>
  </r>
  <r>
    <s v="STR-1023"/>
    <d v="2025-01-01T00:00:00"/>
    <x v="2"/>
    <s v="Mall"/>
    <n v="50517.94"/>
    <n v="7024"/>
    <n v="2.9000000000000001E-2"/>
    <n v="18"/>
    <n v="79.2"/>
    <n v="6.61"/>
    <n v="1"/>
    <n v="4.0999999999999996"/>
    <n v="711213.46"/>
    <n v="105863.26"/>
  </r>
  <r>
    <s v="STR-1023"/>
    <d v="2025-02-01T00:00:00"/>
    <x v="2"/>
    <s v="Mall"/>
    <n v="141540.29"/>
    <n v="5400"/>
    <n v="1.2999999999999999E-2"/>
    <n v="12"/>
    <n v="87"/>
    <n v="4.26"/>
    <n v="0"/>
    <n v="4.5"/>
    <n v="627171.9"/>
    <n v="105772.75"/>
  </r>
  <r>
    <s v="STR-1023"/>
    <d v="2025-03-01T00:00:00"/>
    <x v="2"/>
    <s v="Mall"/>
    <n v="82116.19"/>
    <n v="5988"/>
    <n v="0.04"/>
    <n v="17"/>
    <n v="91.8"/>
    <n v="5.75"/>
    <n v="0"/>
    <n v="4.7"/>
    <n v="739852.58"/>
    <n v="129386.43"/>
  </r>
  <r>
    <s v="STR-1023"/>
    <d v="2025-04-01T00:00:00"/>
    <x v="2"/>
    <s v="Mall"/>
    <n v="31207.51"/>
    <n v="3701"/>
    <n v="4.2999999999999997E-2"/>
    <n v="11"/>
    <n v="84.7"/>
    <n v="0.33"/>
    <n v="0"/>
    <n v="4.3"/>
    <n v="586307.22"/>
    <n v="73927.850000000006"/>
  </r>
  <r>
    <s v="STR-1024"/>
    <d v="2025-01-01T00:00:00"/>
    <x v="3"/>
    <s v="Residential"/>
    <n v="38966.589999999997"/>
    <n v="4509"/>
    <n v="0.19400000000000001"/>
    <n v="14"/>
    <n v="91.1"/>
    <n v="2.92"/>
    <n v="0"/>
    <n v="4.5999999999999996"/>
    <n v="585937.48"/>
    <n v="82624.2"/>
  </r>
  <r>
    <s v="STR-1024"/>
    <d v="2025-02-01T00:00:00"/>
    <x v="3"/>
    <s v="Residential"/>
    <n v="67439.3"/>
    <n v="6477"/>
    <n v="0"/>
    <n v="16"/>
    <n v="90.9"/>
    <n v="1.64"/>
    <n v="0"/>
    <n v="4.5"/>
    <n v="753473.55"/>
    <n v="151527.22"/>
  </r>
  <r>
    <s v="STR-1024"/>
    <d v="2025-03-01T00:00:00"/>
    <x v="3"/>
    <s v="Residential"/>
    <n v="86421.88"/>
    <n v="7970"/>
    <n v="7.2999999999999995E-2"/>
    <n v="17"/>
    <n v="91.3"/>
    <n v="0.8"/>
    <n v="0"/>
    <n v="5"/>
    <n v="838250.32"/>
    <n v="122939.34"/>
  </r>
  <r>
    <s v="STR-1024"/>
    <d v="2025-04-01T00:00:00"/>
    <x v="3"/>
    <s v="Residential"/>
    <n v="9534.65"/>
    <n v="6057"/>
    <n v="7.3999999999999996E-2"/>
    <n v="15"/>
    <n v="94.1"/>
    <n v="5.79"/>
    <n v="0"/>
    <n v="4.5"/>
    <n v="607898.12"/>
    <n v="135404.85"/>
  </r>
  <r>
    <s v="STR-1025"/>
    <d v="2025-01-01T00:00:00"/>
    <x v="3"/>
    <s v="Mall"/>
    <n v="61132.07"/>
    <n v="6394"/>
    <n v="0.16300000000000001"/>
    <n v="19"/>
    <n v="91"/>
    <n v="19.600000000000001"/>
    <n v="0"/>
    <n v="4.4000000000000004"/>
    <n v="691113.62"/>
    <n v="135145.44"/>
  </r>
  <r>
    <s v="STR-1025"/>
    <d v="2025-02-01T00:00:00"/>
    <x v="3"/>
    <s v="Mall"/>
    <n v="78839.39"/>
    <n v="5150"/>
    <n v="0.17100000000000001"/>
    <n v="13"/>
    <n v="85.8"/>
    <n v="7.57"/>
    <n v="0"/>
    <n v="4.3"/>
    <n v="735509.4"/>
    <n v="83895.96"/>
  </r>
  <r>
    <s v="STR-1025"/>
    <d v="2025-03-01T00:00:00"/>
    <x v="3"/>
    <s v="Mall"/>
    <n v="38752.800000000003"/>
    <n v="4712"/>
    <n v="7.4999999999999997E-2"/>
    <n v="15"/>
    <n v="89.7"/>
    <m/>
    <n v="0"/>
    <n v="4.3"/>
    <n v="605775.32999999996"/>
    <n v="107194.6"/>
  </r>
  <r>
    <s v="STR-1025"/>
    <d v="2025-04-01T00:00:00"/>
    <x v="3"/>
    <s v="Mall"/>
    <n v="55101.1"/>
    <n v="5281"/>
    <n v="0.189"/>
    <n v="11"/>
    <n v="91"/>
    <n v="2.7"/>
    <n v="0"/>
    <n v="4.4000000000000004"/>
    <n v="675177.68"/>
    <n v="105628.68"/>
  </r>
  <r>
    <s v="STR-1026"/>
    <d v="2025-01-01T00:00:00"/>
    <x v="0"/>
    <s v="Mall"/>
    <n v="53084.76"/>
    <n v="3642"/>
    <n v="0.15"/>
    <n v="12"/>
    <n v="91.4"/>
    <n v="0.2"/>
    <n v="0"/>
    <n v="4.4000000000000004"/>
    <n v="635181.35"/>
    <n v="83341.25"/>
  </r>
  <r>
    <s v="STR-1026"/>
    <d v="2025-02-01T00:00:00"/>
    <x v="0"/>
    <s v="Mall"/>
    <n v="63101.59"/>
    <n v="4373"/>
    <n v="0.17299999999999999"/>
    <n v="14"/>
    <n v="90.4"/>
    <n v="7.87"/>
    <n v="0"/>
    <n v="4.7"/>
    <n v="586626.93999999994"/>
    <n v="86498.55"/>
  </r>
  <r>
    <s v="STR-1026"/>
    <d v="2025-03-01T00:00:00"/>
    <x v="0"/>
    <s v="Mall"/>
    <n v="90084.4"/>
    <n v="6832"/>
    <n v="0.185"/>
    <n v="14"/>
    <n v="80.5"/>
    <n v="0.77"/>
    <n v="1"/>
    <n v="4.4000000000000004"/>
    <n v="740102.64"/>
    <n v="114299.07"/>
  </r>
  <r>
    <s v="STR-1026"/>
    <d v="2025-04-01T00:00:00"/>
    <x v="0"/>
    <s v="Mall"/>
    <n v="32266.639999999999"/>
    <n v="2414"/>
    <n v="0.08"/>
    <n v="7"/>
    <n v="92.1"/>
    <n v="1.48"/>
    <n v="0"/>
    <n v="5"/>
    <n v="625514.04"/>
    <n v="120685.08"/>
  </r>
  <r>
    <s v="STR-1027"/>
    <d v="2025-01-01T00:00:00"/>
    <x v="3"/>
    <s v="High Street"/>
    <n v="57919.07"/>
    <n v="7374"/>
    <n v="0.10299999999999999"/>
    <n v="21"/>
    <n v="82.3"/>
    <n v="2.87"/>
    <n v="0"/>
    <n v="2.9"/>
    <n v="727227.2"/>
    <n v="121292.01"/>
  </r>
  <r>
    <s v="STR-1027"/>
    <d v="2025-02-01T00:00:00"/>
    <x v="3"/>
    <s v="High Street"/>
    <n v="74679.350000000006"/>
    <n v="8739"/>
    <n v="5.6000000000000001E-2"/>
    <n v="21"/>
    <n v="91.8"/>
    <n v="2.83"/>
    <n v="0"/>
    <n v="3"/>
    <n v="783797.89"/>
    <n v="157620.70000000001"/>
  </r>
  <r>
    <s v="STR-1027"/>
    <d v="2025-03-01T00:00:00"/>
    <x v="3"/>
    <s v="High Street"/>
    <n v="64294.23"/>
    <n v="6992"/>
    <n v="0.13300000000000001"/>
    <n v="14"/>
    <n v="94.1"/>
    <n v="0.25"/>
    <n v="0"/>
    <n v="3"/>
    <n v="795153.84"/>
    <n v="143194.21"/>
  </r>
  <r>
    <s v="STR-1027"/>
    <d v="2025-04-01T00:00:00"/>
    <x v="3"/>
    <s v="High Street"/>
    <n v="31042.03"/>
    <n v="7107"/>
    <n v="5.0999999999999997E-2"/>
    <n v="15"/>
    <n v="87"/>
    <n v="13.33"/>
    <n v="0"/>
    <n v="3.2"/>
    <n v="665594.93999999994"/>
    <n v="127597.34"/>
  </r>
  <r>
    <s v="STR-1028"/>
    <d v="2025-01-01T00:00:00"/>
    <x v="0"/>
    <s v="Mall"/>
    <n v="75265.02"/>
    <n v="6975"/>
    <n v="0.157"/>
    <n v="20"/>
    <n v="73.8"/>
    <n v="6.35"/>
    <n v="1"/>
    <n v="3.8"/>
    <n v="709478.39"/>
    <n v="71294.27"/>
  </r>
  <r>
    <s v="STR-1028"/>
    <d v="2025-02-01T00:00:00"/>
    <x v="0"/>
    <s v="Mall"/>
    <n v="69411.7"/>
    <n v="5493"/>
    <n v="0.29199999999999998"/>
    <n v="13"/>
    <n v="86.5"/>
    <n v="6.69"/>
    <n v="0"/>
    <n v="3.8"/>
    <n v="664162.49"/>
    <n v="98291.06"/>
  </r>
  <r>
    <s v="STR-1028"/>
    <d v="2025-03-01T00:00:00"/>
    <x v="0"/>
    <s v="Mall"/>
    <n v="51056.15"/>
    <n v="5686"/>
    <n v="8.8999999999999996E-2"/>
    <n v="13"/>
    <n v="89.9"/>
    <n v="1.28"/>
    <n v="0"/>
    <n v="4.2"/>
    <n v="633494.21"/>
    <n v="105739.47"/>
  </r>
  <r>
    <s v="STR-1028"/>
    <d v="2025-04-01T00:00:00"/>
    <x v="0"/>
    <s v="Mall"/>
    <n v="52758.01"/>
    <n v="4063"/>
    <n v="5.7000000000000002E-2"/>
    <n v="12"/>
    <n v="91.7"/>
    <n v="0.92"/>
    <n v="0"/>
    <n v="3.5"/>
    <n v="713611.16"/>
    <n v="129717.18"/>
  </r>
  <r>
    <s v="STR-1029"/>
    <d v="2025-01-01T00:00:00"/>
    <x v="3"/>
    <s v="Mall"/>
    <n v="61426.04"/>
    <n v="8966"/>
    <n v="0.17299999999999999"/>
    <n v="22"/>
    <n v="76.400000000000006"/>
    <n v="1.05"/>
    <n v="0"/>
    <n v="3.1"/>
    <n v="778397.97"/>
    <n v="120044.41"/>
  </r>
  <r>
    <s v="STR-1029"/>
    <d v="2025-02-01T00:00:00"/>
    <x v="3"/>
    <s v="Mall"/>
    <n v="80176.34"/>
    <n v="9489"/>
    <n v="0.14199999999999999"/>
    <n v="22"/>
    <n v="94.3"/>
    <n v="2.67"/>
    <n v="0"/>
    <n v="3.5"/>
    <n v="873380.02"/>
    <n v="149734.76"/>
  </r>
  <r>
    <s v="STR-1029"/>
    <d v="2025-03-01T00:00:00"/>
    <x v="3"/>
    <s v="Mall"/>
    <n v="33605.18"/>
    <n v="9225"/>
    <n v="0.159"/>
    <n v="23"/>
    <n v="88.4"/>
    <n v="5.91"/>
    <n v="0"/>
    <n v="2.8"/>
    <n v="697287.9"/>
    <n v="128208.33"/>
  </r>
  <r>
    <s v="STR-1029"/>
    <d v="2025-04-01T00:00:00"/>
    <x v="3"/>
    <s v="Mall"/>
    <n v="25990.54"/>
    <n v="9249"/>
    <n v="0.13900000000000001"/>
    <n v="23"/>
    <n v="92.5"/>
    <n v="6.37"/>
    <n v="0"/>
    <n v="3.3"/>
    <n v="718074.79"/>
    <n v="115819.87"/>
  </r>
  <r>
    <s v="STR-1030"/>
    <d v="2025-01-01T00:00:00"/>
    <x v="3"/>
    <s v="Residential"/>
    <n v="43685.14"/>
    <n v="7821"/>
    <n v="0.19"/>
    <n v="17"/>
    <n v="91"/>
    <n v="2.4900000000000002"/>
    <n v="1"/>
    <n v="4.7"/>
    <n v="714942.43"/>
    <n v="94697.71"/>
  </r>
  <r>
    <s v="STR-1030"/>
    <d v="2025-02-01T00:00:00"/>
    <x v="3"/>
    <s v="Residential"/>
    <n v="57360.01"/>
    <n v="8434"/>
    <n v="0.151"/>
    <n v="19"/>
    <n v="84.1"/>
    <n v="1.56"/>
    <n v="0"/>
    <n v="4.7"/>
    <n v="820519.04"/>
    <n v="99035.88"/>
  </r>
  <r>
    <s v="STR-1030"/>
    <d v="2025-03-01T00:00:00"/>
    <x v="3"/>
    <s v="Residential"/>
    <n v="42415.47"/>
    <n v="8512"/>
    <n v="0.13300000000000001"/>
    <n v="18"/>
    <n v="96.8"/>
    <n v="14.95"/>
    <n v="0"/>
    <n v="4.5999999999999996"/>
    <n v="684217.32"/>
    <n v="136217.19"/>
  </r>
  <r>
    <s v="STR-1030"/>
    <d v="2025-04-01T00:00:00"/>
    <x v="3"/>
    <s v="Residential"/>
    <n v="54968.98"/>
    <n v="7816"/>
    <n v="0.23200000000000001"/>
    <n v="19"/>
    <n v="95.7"/>
    <n v="7.85"/>
    <n v="0"/>
    <n v="4.7"/>
    <n v="735480.19"/>
    <n v="88342.11"/>
  </r>
  <r>
    <s v="STR-1031"/>
    <d v="2025-01-01T00:00:00"/>
    <x v="1"/>
    <s v="High Street"/>
    <n v="43896.13"/>
    <n v="3853"/>
    <n v="8.7999999999999995E-2"/>
    <n v="13"/>
    <n v="83"/>
    <n v="6.8"/>
    <n v="0"/>
    <n v="4.4000000000000004"/>
    <n v="509484.81"/>
    <n v="85742.36"/>
  </r>
  <r>
    <s v="STR-1031"/>
    <d v="2025-02-01T00:00:00"/>
    <x v="1"/>
    <s v="High Street"/>
    <n v="83044.17"/>
    <n v="3694"/>
    <n v="0"/>
    <n v="14"/>
    <n v="89.4"/>
    <n v="2.2000000000000002"/>
    <n v="0"/>
    <n v="3.7"/>
    <n v="654317.09"/>
    <n v="121446.89"/>
  </r>
  <r>
    <s v="STR-1031"/>
    <d v="2025-03-01T00:00:00"/>
    <x v="1"/>
    <s v="High Street"/>
    <n v="48396.13"/>
    <n v="4423"/>
    <n v="6.9000000000000006E-2"/>
    <n v="15"/>
    <n v="85.7"/>
    <n v="1.88"/>
    <n v="0"/>
    <n v="3.9"/>
    <n v="557487.26"/>
    <n v="76432.19"/>
  </r>
  <r>
    <s v="STR-1031"/>
    <d v="2025-04-01T00:00:00"/>
    <x v="1"/>
    <s v="High Street"/>
    <n v="19063.48"/>
    <n v="1906"/>
    <n v="0.216"/>
    <n v="10"/>
    <n v="97.8"/>
    <n v="15.79"/>
    <n v="0"/>
    <n v="4.4000000000000004"/>
    <n v="441275.42"/>
    <n v="58234.87"/>
  </r>
  <r>
    <s v="STR-1032"/>
    <d v="2025-01-01T00:00:00"/>
    <x v="2"/>
    <s v="High Street"/>
    <n v="61541.21"/>
    <n v="10396"/>
    <n v="0.123"/>
    <n v="25"/>
    <n v="88.1"/>
    <n v="2.34"/>
    <n v="1"/>
    <n v="4.8"/>
    <n v="914544.17"/>
    <n v="79831.73"/>
  </r>
  <r>
    <s v="STR-1032"/>
    <d v="2025-02-01T00:00:00"/>
    <x v="2"/>
    <s v="High Street"/>
    <n v="44747"/>
    <n v="11076"/>
    <n v="0.17599999999999999"/>
    <n v="27"/>
    <n v="98.3"/>
    <n v="0.54"/>
    <n v="0"/>
    <n v="4.4000000000000004"/>
    <n v="842439.67"/>
    <n v="169983.63"/>
  </r>
  <r>
    <s v="STR-1032"/>
    <d v="2025-03-01T00:00:00"/>
    <x v="2"/>
    <s v="High Street"/>
    <n v="56517.9"/>
    <n v="9574"/>
    <n v="0.20399999999999999"/>
    <n v="20"/>
    <n v="88.2"/>
    <n v="5.37"/>
    <n v="1"/>
    <n v="4.9000000000000004"/>
    <n v="842157.92"/>
    <n v="107348.22"/>
  </r>
  <r>
    <s v="STR-1032"/>
    <d v="2025-04-01T00:00:00"/>
    <x v="2"/>
    <s v="High Street"/>
    <n v="37828.5"/>
    <n v="8221"/>
    <n v="9.6000000000000002E-2"/>
    <n v="19"/>
    <n v="81.5"/>
    <n v="3.19"/>
    <n v="0"/>
    <n v="4.8"/>
    <n v="697155.3"/>
    <n v="136408.54"/>
  </r>
  <r>
    <s v="STR-1033"/>
    <d v="2025-01-01T00:00:00"/>
    <x v="0"/>
    <s v="High Street"/>
    <n v="66250.53"/>
    <n v="10618"/>
    <n v="0.14199999999999999"/>
    <n v="27"/>
    <n v="88.3"/>
    <n v="1.1000000000000001"/>
    <n v="1"/>
    <n v="4.4000000000000004"/>
    <n v="849018.3"/>
    <n v="149035.13"/>
  </r>
  <r>
    <s v="STR-1033"/>
    <d v="2025-02-01T00:00:00"/>
    <x v="0"/>
    <s v="High Street"/>
    <n v="68410.929999999993"/>
    <n v="10596"/>
    <n v="0.20699999999999999"/>
    <n v="25"/>
    <n v="81.2"/>
    <n v="0.21"/>
    <n v="0"/>
    <n v="4"/>
    <n v="801830.35"/>
    <n v="114875.32"/>
  </r>
  <r>
    <s v="STR-1033"/>
    <d v="2025-03-01T00:00:00"/>
    <x v="0"/>
    <s v="High Street"/>
    <n v="50735.63"/>
    <n v="9619"/>
    <n v="0.14399999999999999"/>
    <n v="19"/>
    <n v="93.8"/>
    <n v="5.12"/>
    <n v="1"/>
    <n v="4.5"/>
    <n v="725235.28"/>
    <n v="121632.24"/>
  </r>
  <r>
    <s v="STR-1033"/>
    <d v="2025-04-01T00:00:00"/>
    <x v="0"/>
    <s v="High Street"/>
    <n v="66455.8"/>
    <n v="10836"/>
    <n v="8.8999999999999996E-2"/>
    <n v="25"/>
    <n v="85"/>
    <n v="9.77"/>
    <n v="0"/>
    <n v="4.5"/>
    <n v="811452.72"/>
    <n v="131325.67000000001"/>
  </r>
  <r>
    <s v="STR-1034"/>
    <d v="2025-01-01T00:00:00"/>
    <x v="1"/>
    <s v="High Street"/>
    <n v="70276.28"/>
    <n v="3043"/>
    <n v="7.9000000000000001E-2"/>
    <n v="9"/>
    <n v="87.9"/>
    <n v="3.77"/>
    <n v="0"/>
    <n v="4.4000000000000004"/>
    <n v="527300.13"/>
    <n v="84197.87"/>
  </r>
  <r>
    <s v="STR-1034"/>
    <d v="2025-02-01T00:00:00"/>
    <x v="1"/>
    <s v="High Street"/>
    <n v="22071.64"/>
    <n v="1814"/>
    <n v="0.19600000000000001"/>
    <n v="8"/>
    <n v="81.099999999999994"/>
    <n v="0.78"/>
    <n v="0"/>
    <m/>
    <n v="400831.65"/>
    <n v="70979.31"/>
  </r>
  <r>
    <s v="STR-1034"/>
    <d v="2025-03-01T00:00:00"/>
    <x v="1"/>
    <s v="High Street"/>
    <n v="52285.45"/>
    <n v="3618"/>
    <n v="8.5999999999999993E-2"/>
    <n v="11"/>
    <n v="95.6"/>
    <n v="5.17"/>
    <n v="1"/>
    <n v="4.4000000000000004"/>
    <n v="593247.25"/>
    <n v="81240.289999999994"/>
  </r>
  <r>
    <s v="STR-1034"/>
    <d v="2025-04-01T00:00:00"/>
    <x v="1"/>
    <s v="High Street"/>
    <n v="70366.759999999995"/>
    <n v="1963"/>
    <n v="0.182"/>
    <n v="8"/>
    <n v="89.8"/>
    <n v="3.2"/>
    <n v="0"/>
    <n v="4.5999999999999996"/>
    <n v="529075.94999999995"/>
    <n v="95978.83"/>
  </r>
  <r>
    <s v="STR-1035"/>
    <d v="2025-01-01T00:00:00"/>
    <x v="2"/>
    <s v="Residential"/>
    <n v="71320.66"/>
    <n v="7888"/>
    <n v="4.8000000000000001E-2"/>
    <n v="20"/>
    <n v="78.099999999999994"/>
    <n v="3.4"/>
    <n v="0"/>
    <m/>
    <n v="633638.03"/>
    <n v="99402.01"/>
  </r>
  <r>
    <s v="STR-1035"/>
    <d v="2025-02-01T00:00:00"/>
    <x v="2"/>
    <s v="Residential"/>
    <n v="75109.67"/>
    <n v="6244"/>
    <n v="7.9000000000000001E-2"/>
    <n v="15"/>
    <n v="96.3"/>
    <n v="7.38"/>
    <n v="0"/>
    <n v="3.7"/>
    <n v="743348.84"/>
    <n v="104186.09"/>
  </r>
  <r>
    <s v="STR-1035"/>
    <d v="2025-03-01T00:00:00"/>
    <x v="2"/>
    <s v="Residential"/>
    <n v="69779"/>
    <n v="6544"/>
    <n v="0.152"/>
    <n v="18"/>
    <n v="90.2"/>
    <n v="0.85"/>
    <n v="1"/>
    <n v="3.3"/>
    <n v="758827.64"/>
    <n v="161439.48000000001"/>
  </r>
  <r>
    <s v="STR-1035"/>
    <d v="2025-04-01T00:00:00"/>
    <x v="2"/>
    <s v="Residential"/>
    <n v="44211.95"/>
    <n v="5465"/>
    <n v="0.187"/>
    <n v="12"/>
    <n v="90"/>
    <n v="2.89"/>
    <n v="0"/>
    <n v="3.6"/>
    <n v="646559.71"/>
    <n v="97981.75"/>
  </r>
  <r>
    <s v="STR-1036"/>
    <d v="2025-01-01T00:00:00"/>
    <x v="3"/>
    <s v="High Street"/>
    <n v="51430.31"/>
    <n v="6427"/>
    <n v="0.23400000000000001"/>
    <n v="14"/>
    <n v="88.8"/>
    <n v="0.77"/>
    <n v="0"/>
    <n v="4.0999999999999996"/>
    <n v="715890.53"/>
    <n v="109032.15"/>
  </r>
  <r>
    <s v="STR-1036"/>
    <d v="2025-02-01T00:00:00"/>
    <x v="3"/>
    <s v="High Street"/>
    <n v="45706.49"/>
    <n v="6704"/>
    <n v="3.7999999999999999E-2"/>
    <n v="15"/>
    <n v="94.2"/>
    <n v="2.92"/>
    <n v="0"/>
    <n v="4.2"/>
    <n v="715097.57"/>
    <n v="151875.85999999999"/>
  </r>
  <r>
    <s v="STR-1036"/>
    <d v="2025-03-01T00:00:00"/>
    <x v="3"/>
    <s v="High Street"/>
    <n v="44034.6"/>
    <n v="5645"/>
    <n v="6.9000000000000006E-2"/>
    <n v="18"/>
    <n v="88.5"/>
    <n v="3.07"/>
    <n v="0"/>
    <n v="3.8"/>
    <n v="682639.28"/>
    <n v="77557.53"/>
  </r>
  <r>
    <s v="STR-1036"/>
    <d v="2025-04-01T00:00:00"/>
    <x v="3"/>
    <s v="High Street"/>
    <n v="50198.12"/>
    <n v="6089"/>
    <n v="0.182"/>
    <n v="19"/>
    <n v="94"/>
    <n v="9.6999999999999993"/>
    <n v="0"/>
    <n v="3.9"/>
    <n v="695098.51"/>
    <n v="108192.75"/>
  </r>
  <r>
    <s v="STR-1037"/>
    <d v="2025-01-01T00:00:00"/>
    <x v="1"/>
    <s v="Residential"/>
    <n v="70488.2"/>
    <n v="4312"/>
    <n v="0.16900000000000001"/>
    <n v="12"/>
    <n v="90.2"/>
    <n v="3.71"/>
    <n v="0"/>
    <n v="3.2"/>
    <n v="577732.56999999995"/>
    <n v="93804.27"/>
  </r>
  <r>
    <s v="STR-1037"/>
    <d v="2025-02-01T00:00:00"/>
    <x v="1"/>
    <s v="Residential"/>
    <n v="50909.27"/>
    <n v="3152"/>
    <n v="0.06"/>
    <n v="13"/>
    <n v="93.7"/>
    <n v="10.79"/>
    <n v="0"/>
    <n v="3.5"/>
    <n v="537058.32999999996"/>
    <n v="93555.71"/>
  </r>
  <r>
    <s v="STR-1037"/>
    <d v="2025-03-01T00:00:00"/>
    <x v="1"/>
    <s v="Residential"/>
    <n v="53351.7"/>
    <n v="4259"/>
    <n v="0.156"/>
    <n v="15"/>
    <n v="93.7"/>
    <n v="6.03"/>
    <n v="0"/>
    <n v="3.4"/>
    <n v="601568.87"/>
    <n v="91634.82"/>
  </r>
  <r>
    <s v="STR-1037"/>
    <d v="2025-04-01T00:00:00"/>
    <x v="1"/>
    <s v="Residential"/>
    <n v="60322.400000000001"/>
    <n v="3350"/>
    <n v="0.108"/>
    <n v="12"/>
    <n v="89.4"/>
    <n v="4.92"/>
    <n v="0"/>
    <n v="3.4"/>
    <n v="570964.84"/>
    <n v="81331.070000000007"/>
  </r>
  <r>
    <s v="STR-1038"/>
    <d v="2025-01-01T00:00:00"/>
    <x v="2"/>
    <s v="Mall"/>
    <n v="51575.68"/>
    <n v="5329"/>
    <n v="4.7E-2"/>
    <n v="17"/>
    <n v="88.1"/>
    <n v="19.78"/>
    <n v="0"/>
    <n v="3.8"/>
    <n v="614024.91"/>
    <n v="84828.93"/>
  </r>
  <r>
    <s v="STR-1038"/>
    <d v="2025-02-01T00:00:00"/>
    <x v="2"/>
    <s v="Mall"/>
    <n v="43319.94"/>
    <n v="6551"/>
    <n v="4.3999999999999997E-2"/>
    <n v="13"/>
    <n v="99"/>
    <n v="5.45"/>
    <n v="0"/>
    <n v="4.0999999999999996"/>
    <n v="712868.35"/>
    <n v="133650.51"/>
  </r>
  <r>
    <s v="STR-1038"/>
    <d v="2025-03-01T00:00:00"/>
    <x v="2"/>
    <s v="Mall"/>
    <n v="47093.55"/>
    <n v="5550"/>
    <n v="0.1"/>
    <n v="12"/>
    <n v="95"/>
    <n v="2.33"/>
    <n v="1"/>
    <n v="3.7"/>
    <n v="696744.15"/>
    <n v="152230.09"/>
  </r>
  <r>
    <s v="STR-1038"/>
    <d v="2025-04-01T00:00:00"/>
    <x v="2"/>
    <s v="Mall"/>
    <n v="71855.09"/>
    <n v="5911"/>
    <n v="0.19700000000000001"/>
    <n v="15"/>
    <n v="94.3"/>
    <n v="3.55"/>
    <n v="0"/>
    <n v="4.0999999999999996"/>
    <n v="725847.99"/>
    <n v="122698.73"/>
  </r>
  <r>
    <s v="STR-1039"/>
    <d v="2025-01-01T00:00:00"/>
    <x v="0"/>
    <s v="High Street"/>
    <n v="75645.23"/>
    <n v="9674"/>
    <n v="0.23400000000000001"/>
    <n v="21"/>
    <n v="87.4"/>
    <n v="0.2"/>
    <n v="0"/>
    <n v="4.5"/>
    <n v="785028.25"/>
    <n v="110726.44"/>
  </r>
  <r>
    <s v="STR-1039"/>
    <d v="2025-02-01T00:00:00"/>
    <x v="0"/>
    <s v="High Street"/>
    <n v="64374.75"/>
    <n v="6740"/>
    <n v="0.16900000000000001"/>
    <n v="18"/>
    <n v="87"/>
    <n v="2.09"/>
    <n v="0"/>
    <n v="4.2"/>
    <n v="698492.67"/>
    <n v="117319.32"/>
  </r>
  <r>
    <s v="STR-1039"/>
    <d v="2025-03-01T00:00:00"/>
    <x v="0"/>
    <s v="High Street"/>
    <n v="61433.84"/>
    <n v="7745"/>
    <n v="0.18"/>
    <n v="16"/>
    <n v="90.5"/>
    <n v="2.2599999999999998"/>
    <n v="0"/>
    <n v="4.2"/>
    <n v="685830.24"/>
    <n v="128736.18"/>
  </r>
  <r>
    <s v="STR-1039"/>
    <d v="2025-04-01T00:00:00"/>
    <x v="0"/>
    <s v="High Street"/>
    <n v="42698.14"/>
    <n v="7693"/>
    <n v="0.187"/>
    <n v="19"/>
    <n v="90.1"/>
    <n v="0.44"/>
    <n v="0"/>
    <n v="4.4000000000000004"/>
    <n v="702318.94"/>
    <n v="112829.29"/>
  </r>
  <r>
    <s v="STR-1040"/>
    <d v="2025-01-01T00:00:00"/>
    <x v="1"/>
    <s v="Mall"/>
    <n v="86883.31"/>
    <n v="6424"/>
    <n v="5.7000000000000002E-2"/>
    <n v="19"/>
    <n v="85.2"/>
    <n v="3.08"/>
    <n v="0"/>
    <n v="3.9"/>
    <n v="700078.32"/>
    <n v="123707.58"/>
  </r>
  <r>
    <s v="STR-1040"/>
    <d v="2025-02-01T00:00:00"/>
    <x v="1"/>
    <s v="Mall"/>
    <n v="41863.08"/>
    <n v="5400"/>
    <n v="0.114"/>
    <n v="11"/>
    <n v="91.6"/>
    <n v="7.99"/>
    <n v="0"/>
    <n v="3"/>
    <n v="602002.31999999995"/>
    <n v="110453.28"/>
  </r>
  <r>
    <s v="STR-1040"/>
    <d v="2025-03-01T00:00:00"/>
    <x v="1"/>
    <s v="Mall"/>
    <n v="56918.16"/>
    <n v="7015"/>
    <n v="0.158"/>
    <n v="18"/>
    <n v="74.2"/>
    <n v="0.2"/>
    <n v="0"/>
    <n v="3.4"/>
    <n v="724216.07"/>
    <n v="100627.56"/>
  </r>
  <r>
    <s v="STR-1040"/>
    <d v="2025-04-01T00:00:00"/>
    <x v="1"/>
    <s v="Mall"/>
    <n v="23254.57"/>
    <n v="3847"/>
    <n v="0.159"/>
    <n v="12"/>
    <n v="93"/>
    <n v="5.46"/>
    <n v="0"/>
    <n v="3.3"/>
    <n v="620973.03"/>
    <n v="72303.850000000006"/>
  </r>
  <r>
    <s v="STR-1041"/>
    <d v="2025-01-01T00:00:00"/>
    <x v="2"/>
    <s v="High Street"/>
    <n v="41443.410000000003"/>
    <n v="7455"/>
    <n v="0.17499999999999999"/>
    <n v="16"/>
    <n v="90.1"/>
    <n v="4.05"/>
    <n v="0"/>
    <n v="4"/>
    <n v="650480.06000000006"/>
    <n v="109012.07"/>
  </r>
  <r>
    <s v="STR-1041"/>
    <d v="2025-02-01T00:00:00"/>
    <x v="2"/>
    <s v="High Street"/>
    <n v="48438.85"/>
    <n v="6992"/>
    <n v="3.4000000000000002E-2"/>
    <n v="20"/>
    <n v="91"/>
    <n v="4.3600000000000003"/>
    <n v="0"/>
    <n v="4.2"/>
    <n v="778298.88"/>
    <n v="130076.72"/>
  </r>
  <r>
    <s v="STR-1041"/>
    <d v="2025-03-01T00:00:00"/>
    <x v="2"/>
    <s v="High Street"/>
    <n v="57143.3"/>
    <n v="8038"/>
    <n v="0.193"/>
    <n v="17"/>
    <n v="72.599999999999994"/>
    <m/>
    <n v="0"/>
    <n v="4.2"/>
    <n v="677096.71"/>
    <n v="97174.11"/>
  </r>
  <r>
    <s v="STR-1041"/>
    <d v="2025-04-01T00:00:00"/>
    <x v="2"/>
    <s v="High Street"/>
    <n v="66870.62"/>
    <n v="6055"/>
    <n v="7.4999999999999997E-2"/>
    <n v="19"/>
    <n v="93.8"/>
    <n v="0.54"/>
    <n v="0"/>
    <n v="4.3"/>
    <n v="692008.64"/>
    <n v="116337.87"/>
  </r>
  <r>
    <s v="STR-1042"/>
    <d v="2025-01-01T00:00:00"/>
    <x v="1"/>
    <s v="Mall"/>
    <n v="72150.53"/>
    <n v="9323"/>
    <n v="0.157"/>
    <n v="22"/>
    <n v="82.9"/>
    <n v="11.37"/>
    <n v="1"/>
    <n v="4.3"/>
    <n v="825797.91"/>
    <n v="130945.24"/>
  </r>
  <r>
    <s v="STR-1042"/>
    <d v="2025-02-01T00:00:00"/>
    <x v="1"/>
    <s v="Mall"/>
    <n v="35303.300000000003"/>
    <n v="8789"/>
    <n v="0.123"/>
    <n v="22"/>
    <n v="86.1"/>
    <n v="9.43"/>
    <n v="0"/>
    <n v="4.2"/>
    <n v="706285.52"/>
    <n v="138014.72"/>
  </r>
  <r>
    <s v="STR-1042"/>
    <d v="2025-03-01T00:00:00"/>
    <x v="1"/>
    <s v="Mall"/>
    <n v="30301.86"/>
    <n v="6939"/>
    <n v="0.09"/>
    <n v="16"/>
    <n v="90.3"/>
    <n v="3.49"/>
    <n v="0"/>
    <n v="4"/>
    <n v="665534.69999999995"/>
    <n v="113167.73"/>
  </r>
  <r>
    <s v="STR-1042"/>
    <d v="2025-04-01T00:00:00"/>
    <x v="1"/>
    <s v="Mall"/>
    <n v="78432.14"/>
    <n v="9440"/>
    <n v="0.126"/>
    <n v="23"/>
    <n v="89.2"/>
    <n v="7.86"/>
    <n v="0"/>
    <n v="4.0999999999999996"/>
    <n v="820729.29"/>
    <n v="159325.47"/>
  </r>
  <r>
    <s v="STR-1043"/>
    <d v="2025-01-01T00:00:00"/>
    <x v="0"/>
    <s v="Residential"/>
    <n v="62059.18"/>
    <n v="9374"/>
    <n v="0.13600000000000001"/>
    <n v="25"/>
    <n v="87.1"/>
    <n v="12.55"/>
    <n v="0"/>
    <n v="4.9000000000000004"/>
    <n v="739831.73"/>
    <n v="119490.21"/>
  </r>
  <r>
    <s v="STR-1043"/>
    <d v="2025-02-01T00:00:00"/>
    <x v="0"/>
    <s v="Residential"/>
    <n v="32834.480000000003"/>
    <n v="7576"/>
    <n v="9.9000000000000005E-2"/>
    <n v="15"/>
    <n v="84.1"/>
    <n v="3.48"/>
    <n v="0"/>
    <n v="5"/>
    <n v="593637.14"/>
    <n v="106648.14"/>
  </r>
  <r>
    <s v="STR-1043"/>
    <d v="2025-03-01T00:00:00"/>
    <x v="0"/>
    <s v="Residential"/>
    <n v="50825.08"/>
    <n v="8949"/>
    <n v="0.157"/>
    <n v="21"/>
    <n v="84.7"/>
    <n v="7.73"/>
    <n v="0"/>
    <n v="4.9000000000000004"/>
    <n v="769702.76"/>
    <n v="158697"/>
  </r>
  <r>
    <s v="STR-1043"/>
    <d v="2025-04-01T00:00:00"/>
    <x v="0"/>
    <s v="Residential"/>
    <n v="36606.51"/>
    <n v="7671"/>
    <n v="0.11799999999999999"/>
    <n v="18"/>
    <n v="89.8"/>
    <n v="0.25"/>
    <n v="0"/>
    <n v="4.4000000000000004"/>
    <n v="679731.57"/>
    <n v="121546.42"/>
  </r>
  <r>
    <s v="STR-1044"/>
    <d v="2025-01-01T00:00:00"/>
    <x v="0"/>
    <s v="Residential"/>
    <n v="65237.79"/>
    <n v="8741"/>
    <n v="0.157"/>
    <n v="20"/>
    <n v="94.4"/>
    <n v="6.43"/>
    <n v="0"/>
    <n v="3.3"/>
    <n v="780344.18"/>
    <n v="118239.09"/>
  </r>
  <r>
    <s v="STR-1044"/>
    <d v="2025-02-01T00:00:00"/>
    <x v="0"/>
    <s v="Residential"/>
    <n v="43645.98"/>
    <n v="9480"/>
    <n v="0.109"/>
    <n v="22"/>
    <n v="89"/>
    <n v="2.11"/>
    <n v="0"/>
    <n v="3.1"/>
    <n v="721364.11"/>
    <n v="147272.81"/>
  </r>
  <r>
    <s v="STR-1044"/>
    <d v="2025-03-01T00:00:00"/>
    <x v="0"/>
    <s v="Residential"/>
    <n v="68040.149999999994"/>
    <n v="9826"/>
    <n v="0.125"/>
    <n v="20"/>
    <n v="83.9"/>
    <n v="9.1199999999999992"/>
    <n v="0"/>
    <n v="3.6"/>
    <n v="758138.29"/>
    <n v="132975.26"/>
  </r>
  <r>
    <s v="STR-1044"/>
    <d v="2025-04-01T00:00:00"/>
    <x v="0"/>
    <s v="Residential"/>
    <n v="63043.94"/>
    <n v="10402"/>
    <n v="0.159"/>
    <n v="23"/>
    <n v="93.9"/>
    <n v="2.71"/>
    <n v="0"/>
    <n v="3.1"/>
    <n v="804264"/>
    <n v="167117.91"/>
  </r>
  <r>
    <s v="STR-1045"/>
    <d v="2025-01-01T00:00:00"/>
    <x v="3"/>
    <s v="Airport"/>
    <n v="67494.09"/>
    <n v="12361"/>
    <n v="4.5999999999999999E-2"/>
    <n v="24"/>
    <n v="76.599999999999994"/>
    <n v="3.65"/>
    <n v="1"/>
    <n v="3.7"/>
    <n v="887537.75"/>
    <n v="160362.92000000001"/>
  </r>
  <r>
    <s v="STR-1045"/>
    <d v="2025-02-01T00:00:00"/>
    <x v="3"/>
    <s v="Airport"/>
    <n v="29389.32"/>
    <n v="7925"/>
    <n v="0.17699999999999999"/>
    <n v="21"/>
    <n v="90.9"/>
    <n v="7.86"/>
    <n v="0"/>
    <n v="4"/>
    <n v="783582"/>
    <n v="130670.93"/>
  </r>
  <r>
    <s v="STR-1045"/>
    <d v="2025-03-01T00:00:00"/>
    <x v="3"/>
    <s v="Airport"/>
    <n v="40535.089999999997"/>
    <n v="8870"/>
    <n v="4.1000000000000002E-2"/>
    <n v="21"/>
    <n v="86.6"/>
    <n v="0.3"/>
    <n v="0"/>
    <n v="4.0999999999999996"/>
    <n v="781955.52"/>
    <n v="152578.71"/>
  </r>
  <r>
    <s v="STR-1045"/>
    <d v="2025-04-01T00:00:00"/>
    <x v="3"/>
    <s v="Airport"/>
    <n v="74881.56"/>
    <n v="9999"/>
    <n v="1.2999999999999999E-2"/>
    <n v="20"/>
    <n v="89.6"/>
    <n v="8.44"/>
    <n v="0"/>
    <n v="4.0999999999999996"/>
    <n v="898031.04"/>
    <n v="138666.5"/>
  </r>
  <r>
    <s v="STR-1046"/>
    <d v="2025-01-01T00:00:00"/>
    <x v="3"/>
    <s v="Residential"/>
    <n v="68491.11"/>
    <n v="11154"/>
    <n v="1E-3"/>
    <n v="24"/>
    <n v="89.4"/>
    <n v="5.27"/>
    <n v="1"/>
    <n v="3.9"/>
    <n v="855341.28"/>
    <n v="175823.8"/>
  </r>
  <r>
    <s v="STR-1046"/>
    <d v="2025-02-01T00:00:00"/>
    <x v="3"/>
    <s v="Residential"/>
    <n v="45209.25"/>
    <n v="9287"/>
    <n v="0.14099999999999999"/>
    <n v="22"/>
    <n v="86.4"/>
    <n v="13.22"/>
    <n v="0"/>
    <n v="3.6"/>
    <n v="751393.88"/>
    <n v="91480.320000000007"/>
  </r>
  <r>
    <s v="STR-1046"/>
    <d v="2025-03-01T00:00:00"/>
    <x v="3"/>
    <s v="Residential"/>
    <n v="63010.23"/>
    <n v="9812"/>
    <n v="0.113"/>
    <n v="24"/>
    <n v="76.8"/>
    <n v="1.02"/>
    <n v="1"/>
    <n v="3.8"/>
    <n v="761077.08"/>
    <n v="113605.93"/>
  </r>
  <r>
    <s v="STR-1046"/>
    <d v="2025-04-01T00:00:00"/>
    <x v="3"/>
    <s v="Residential"/>
    <n v="57948.88"/>
    <n v="10741"/>
    <n v="7.0000000000000007E-2"/>
    <n v="25"/>
    <n v="90.1"/>
    <n v="4.03"/>
    <n v="0"/>
    <n v="3.1"/>
    <n v="819660.59"/>
    <n v="172699.95"/>
  </r>
  <r>
    <s v="STR-1047"/>
    <d v="2025-01-01T00:00:00"/>
    <x v="1"/>
    <s v="High Street"/>
    <n v="71941.62"/>
    <n v="6084"/>
    <n v="7.1999999999999995E-2"/>
    <n v="13"/>
    <n v="93.7"/>
    <n v="2.34"/>
    <n v="0"/>
    <n v="4.4000000000000004"/>
    <n v="681855.56"/>
    <n v="117645.61"/>
  </r>
  <r>
    <s v="STR-1047"/>
    <d v="2025-02-01T00:00:00"/>
    <x v="1"/>
    <s v="High Street"/>
    <n v="57147.88"/>
    <n v="5252"/>
    <n v="0.161"/>
    <n v="15"/>
    <n v="95.5"/>
    <n v="8.51"/>
    <n v="0"/>
    <n v="4.4000000000000004"/>
    <n v="678311.17"/>
    <n v="132029.76000000001"/>
  </r>
  <r>
    <s v="STR-1047"/>
    <d v="2025-03-01T00:00:00"/>
    <x v="1"/>
    <s v="High Street"/>
    <n v="48031.74"/>
    <n v="6516"/>
    <n v="6.7000000000000004E-2"/>
    <n v="14"/>
    <n v="99"/>
    <n v="0.48"/>
    <n v="1"/>
    <n v="4.3"/>
    <n v="765906.95"/>
    <n v="114005.9"/>
  </r>
  <r>
    <s v="STR-1047"/>
    <d v="2025-04-01T00:00:00"/>
    <x v="1"/>
    <s v="High Street"/>
    <n v="72784.800000000003"/>
    <n v="7932"/>
    <n v="9.4E-2"/>
    <n v="20"/>
    <n v="74.900000000000006"/>
    <n v="13.62"/>
    <n v="0"/>
    <n v="4.2"/>
    <n v="712546.38"/>
    <n v="101480.04"/>
  </r>
  <r>
    <s v="STR-1048"/>
    <d v="2025-01-01T00:00:00"/>
    <x v="0"/>
    <s v="High Street"/>
    <n v="71641.899999999994"/>
    <n v="3506"/>
    <n v="0"/>
    <n v="11"/>
    <n v="86.4"/>
    <n v="7.77"/>
    <n v="0"/>
    <n v="4.0999999999999996"/>
    <n v="625993.82999999996"/>
    <n v="98960.320000000007"/>
  </r>
  <r>
    <s v="STR-1048"/>
    <d v="2025-02-01T00:00:00"/>
    <x v="0"/>
    <s v="High Street"/>
    <n v="55788.61"/>
    <n v="2312"/>
    <n v="5.8000000000000003E-2"/>
    <n v="10"/>
    <n v="91.3"/>
    <n v="1.99"/>
    <n v="0"/>
    <n v="3.8"/>
    <n v="550962.93000000005"/>
    <n v="97144.58"/>
  </r>
  <r>
    <s v="STR-1048"/>
    <d v="2025-03-01T00:00:00"/>
    <x v="0"/>
    <s v="High Street"/>
    <n v="37705.879999999997"/>
    <n v="1268"/>
    <n v="0.25900000000000001"/>
    <n v="9"/>
    <n v="84.1"/>
    <n v="4.7699999999999996"/>
    <n v="0"/>
    <n v="3.8"/>
    <n v="443275.59"/>
    <n v="53544.36"/>
  </r>
  <r>
    <s v="STR-1048"/>
    <d v="2025-04-01T00:00:00"/>
    <x v="0"/>
    <s v="High Street"/>
    <n v="54966.18"/>
    <n v="4423"/>
    <n v="0.186"/>
    <n v="13"/>
    <n v="88.7"/>
    <n v="0.2"/>
    <n v="0"/>
    <n v="4.4000000000000004"/>
    <n v="554012.06999999995"/>
    <n v="81101.62"/>
  </r>
  <r>
    <s v="STR-1049"/>
    <d v="2025-01-01T00:00:00"/>
    <x v="3"/>
    <s v="Residential"/>
    <n v="81796.740000000005"/>
    <n v="6177"/>
    <n v="0.16400000000000001"/>
    <n v="14"/>
    <n v="87.9"/>
    <n v="0.53"/>
    <n v="0"/>
    <n v="3.2"/>
    <n v="643428.85"/>
    <n v="94477.63"/>
  </r>
  <r>
    <s v="STR-1049"/>
    <d v="2025-02-01T00:00:00"/>
    <x v="3"/>
    <s v="Residential"/>
    <n v="51133.43"/>
    <n v="5150"/>
    <n v="0.15"/>
    <n v="12"/>
    <n v="88.5"/>
    <n v="1.54"/>
    <n v="0"/>
    <n v="3.2"/>
    <n v="611924.27"/>
    <n v="115488.75"/>
  </r>
  <r>
    <s v="STR-1049"/>
    <d v="2025-03-01T00:00:00"/>
    <x v="3"/>
    <s v="Residential"/>
    <n v="40220.18"/>
    <n v="3783"/>
    <n v="8.8999999999999996E-2"/>
    <n v="14"/>
    <n v="86.6"/>
    <n v="3.63"/>
    <n v="0"/>
    <n v="3.7"/>
    <n v="559422.02"/>
    <n v="73528.740000000005"/>
  </r>
  <r>
    <s v="STR-1049"/>
    <d v="2025-04-01T00:00:00"/>
    <x v="3"/>
    <s v="Residential"/>
    <n v="41657.64"/>
    <n v="3135"/>
    <n v="0.22900000000000001"/>
    <n v="7"/>
    <n v="85.4"/>
    <n v="13.48"/>
    <n v="0"/>
    <m/>
    <n v="449465.06"/>
    <n v="65694.78"/>
  </r>
  <r>
    <s v="STR-1050"/>
    <d v="2025-01-01T00:00:00"/>
    <x v="1"/>
    <s v="Residential"/>
    <n v="71851.45"/>
    <n v="4970"/>
    <n v="9.8000000000000004E-2"/>
    <n v="11"/>
    <n v="89.6"/>
    <n v="0.2"/>
    <n v="0"/>
    <n v="4.2"/>
    <n v="691447.43"/>
    <n v="114077.69"/>
  </r>
  <r>
    <s v="STR-1050"/>
    <d v="2025-02-01T00:00:00"/>
    <x v="1"/>
    <s v="Residential"/>
    <n v="54002.83"/>
    <n v="4366"/>
    <n v="2.7E-2"/>
    <n v="15"/>
    <n v="90.6"/>
    <n v="12.82"/>
    <n v="0"/>
    <n v="4.5999999999999996"/>
    <n v="574066.61"/>
    <n v="124674.67"/>
  </r>
  <r>
    <s v="STR-1050"/>
    <d v="2025-03-01T00:00:00"/>
    <x v="1"/>
    <s v="Residential"/>
    <n v="54479.33"/>
    <n v="5012"/>
    <n v="0.28399999999999997"/>
    <n v="13"/>
    <n v="86"/>
    <n v="2.2400000000000002"/>
    <n v="1"/>
    <n v="4.3"/>
    <n v="578949.84"/>
    <n v="80253.649999999994"/>
  </r>
  <r>
    <s v="STR-1050"/>
    <d v="2025-04-01T00:00:00"/>
    <x v="1"/>
    <s v="Residential"/>
    <n v="61391.8"/>
    <n v="5575"/>
    <n v="0.189"/>
    <n v="18"/>
    <n v="90"/>
    <n v="1.8"/>
    <n v="0"/>
    <n v="4.8"/>
    <n v="735786.64"/>
    <n v="126540.66"/>
  </r>
  <r>
    <s v="STR-1051"/>
    <d v="2025-01-01T00:00:00"/>
    <x v="0"/>
    <s v="Airport"/>
    <n v="22312.93"/>
    <n v="5955"/>
    <n v="0.123"/>
    <n v="13"/>
    <n v="84.2"/>
    <n v="0.41"/>
    <n v="1"/>
    <n v="4.5999999999999996"/>
    <n v="598904.9"/>
    <n v="72861"/>
  </r>
  <r>
    <s v="STR-1051"/>
    <d v="2025-02-01T00:00:00"/>
    <x v="0"/>
    <s v="Airport"/>
    <n v="78111.97"/>
    <n v="6389"/>
    <n v="0.15"/>
    <n v="13"/>
    <n v="83.9"/>
    <n v="3.05"/>
    <n v="0"/>
    <n v="4.8"/>
    <n v="787715.51"/>
    <n v="128969.62"/>
  </r>
  <r>
    <s v="STR-1051"/>
    <d v="2025-03-01T00:00:00"/>
    <x v="0"/>
    <s v="Airport"/>
    <n v="35203.230000000003"/>
    <n v="6896"/>
    <n v="3.2000000000000001E-2"/>
    <n v="14"/>
    <n v="80.8"/>
    <n v="8.44"/>
    <n v="1"/>
    <n v="5"/>
    <n v="607084.92000000004"/>
    <n v="98558.49"/>
  </r>
  <r>
    <s v="STR-1051"/>
    <d v="2025-04-01T00:00:00"/>
    <x v="0"/>
    <s v="Airport"/>
    <n v="64104.28"/>
    <n v="6015"/>
    <n v="0.127"/>
    <n v="15"/>
    <n v="88.7"/>
    <n v="0.78"/>
    <n v="0"/>
    <n v="4"/>
    <n v="650795.49"/>
    <n v="103035.89"/>
  </r>
  <r>
    <s v="STR-1052"/>
    <d v="2025-01-01T00:00:00"/>
    <x v="0"/>
    <s v="Mall"/>
    <n v="92090.14"/>
    <n v="9476"/>
    <n v="7.0000000000000007E-2"/>
    <n v="24"/>
    <n v="94.3"/>
    <n v="0.87"/>
    <n v="0"/>
    <n v="3.7"/>
    <n v="825060.52"/>
    <n v="143613.15"/>
  </r>
  <r>
    <s v="STR-1052"/>
    <d v="2025-02-01T00:00:00"/>
    <x v="0"/>
    <s v="Mall"/>
    <n v="54300.87"/>
    <n v="7875"/>
    <n v="0.107"/>
    <n v="19"/>
    <n v="94.1"/>
    <n v="0.95"/>
    <n v="0"/>
    <n v="3.7"/>
    <n v="795464.47"/>
    <n v="161150.51999999999"/>
  </r>
  <r>
    <s v="STR-1052"/>
    <d v="2025-03-01T00:00:00"/>
    <x v="0"/>
    <s v="Mall"/>
    <n v="37983.35"/>
    <n v="9283"/>
    <n v="0.14899999999999999"/>
    <n v="19"/>
    <n v="83.2"/>
    <n v="3.82"/>
    <n v="0"/>
    <n v="3.7"/>
    <n v="671868.59"/>
    <n v="71003.28"/>
  </r>
  <r>
    <s v="STR-1052"/>
    <d v="2025-04-01T00:00:00"/>
    <x v="0"/>
    <s v="Mall"/>
    <n v="56413.83"/>
    <n v="8303"/>
    <n v="0.11600000000000001"/>
    <n v="18"/>
    <n v="93.6"/>
    <n v="2.7"/>
    <n v="0"/>
    <n v="3.7"/>
    <n v="675917.63"/>
    <n v="112564.75"/>
  </r>
  <r>
    <s v="STR-1053"/>
    <d v="2025-01-01T00:00:00"/>
    <x v="0"/>
    <s v="High Street"/>
    <n v="63457.19"/>
    <n v="10125"/>
    <n v="9.7000000000000003E-2"/>
    <n v="24"/>
    <n v="87"/>
    <n v="3.84"/>
    <n v="1"/>
    <n v="3.7"/>
    <n v="810446.53"/>
    <n v="200575.34"/>
  </r>
  <r>
    <s v="STR-1053"/>
    <d v="2025-02-01T00:00:00"/>
    <x v="0"/>
    <s v="High Street"/>
    <n v="62949.7"/>
    <n v="9458"/>
    <n v="0.17100000000000001"/>
    <n v="19"/>
    <n v="84.9"/>
    <n v="5.09"/>
    <n v="0"/>
    <n v="3.3"/>
    <n v="691288.19"/>
    <n v="159074.14000000001"/>
  </r>
  <r>
    <s v="STR-1053"/>
    <d v="2025-03-01T00:00:00"/>
    <x v="0"/>
    <s v="High Street"/>
    <n v="107970.19"/>
    <n v="12870"/>
    <n v="2.9000000000000001E-2"/>
    <n v="31"/>
    <n v="91.7"/>
    <n v="3.82"/>
    <n v="1"/>
    <n v="3.7"/>
    <n v="946833.54"/>
    <n v="184540.31"/>
  </r>
  <r>
    <s v="STR-1053"/>
    <d v="2025-04-01T00:00:00"/>
    <x v="0"/>
    <s v="High Street"/>
    <n v="49405.75"/>
    <n v="9752"/>
    <n v="9.2999999999999999E-2"/>
    <n v="21"/>
    <n v="87"/>
    <n v="12.28"/>
    <n v="0"/>
    <n v="4.0999999999999996"/>
    <n v="761963.23"/>
    <n v="150113.60999999999"/>
  </r>
  <r>
    <s v="STR-1054"/>
    <d v="2025-01-01T00:00:00"/>
    <x v="3"/>
    <s v="Residential"/>
    <n v="50887.46"/>
    <n v="9505"/>
    <n v="9.0999999999999998E-2"/>
    <n v="25"/>
    <n v="89.7"/>
    <n v="2.8"/>
    <n v="0"/>
    <n v="4.3"/>
    <n v="812152.6"/>
    <n v="138419.43"/>
  </r>
  <r>
    <s v="STR-1054"/>
    <d v="2025-02-01T00:00:00"/>
    <x v="3"/>
    <s v="Residential"/>
    <n v="41819.449999999997"/>
    <n v="9412"/>
    <n v="0.15"/>
    <n v="22"/>
    <n v="91"/>
    <n v="3.67"/>
    <n v="0"/>
    <n v="4.2"/>
    <n v="804975.5"/>
    <n v="140054.5"/>
  </r>
  <r>
    <s v="STR-1054"/>
    <d v="2025-03-01T00:00:00"/>
    <x v="3"/>
    <s v="Residential"/>
    <n v="35296.54"/>
    <n v="9644"/>
    <n v="0"/>
    <n v="22"/>
    <n v="88"/>
    <n v="2.81"/>
    <n v="0"/>
    <n v="4.7"/>
    <n v="752321.72"/>
    <n v="137788.51"/>
  </r>
  <r>
    <s v="STR-1054"/>
    <d v="2025-04-01T00:00:00"/>
    <x v="3"/>
    <s v="Residential"/>
    <n v="47391.09"/>
    <n v="11224"/>
    <n v="0.14699999999999999"/>
    <n v="25"/>
    <n v="88.4"/>
    <n v="2.44"/>
    <n v="0"/>
    <n v="4.9000000000000004"/>
    <n v="836908.24"/>
    <n v="141090.26"/>
  </r>
  <r>
    <s v="STR-1055"/>
    <d v="2025-01-01T00:00:00"/>
    <x v="1"/>
    <s v="Airport"/>
    <n v="69180.539999999994"/>
    <n v="5394"/>
    <n v="0.126"/>
    <n v="12"/>
    <n v="82.9"/>
    <n v="3.27"/>
    <n v="0"/>
    <n v="3.3"/>
    <n v="674289.1"/>
    <n v="117773.79"/>
  </r>
  <r>
    <s v="STR-1055"/>
    <d v="2025-02-01T00:00:00"/>
    <x v="1"/>
    <s v="Airport"/>
    <n v="33987.33"/>
    <n v="5014"/>
    <n v="0.246"/>
    <n v="17"/>
    <n v="94.3"/>
    <n v="10.34"/>
    <n v="0"/>
    <n v="3.9"/>
    <n v="622892.42000000004"/>
    <n v="101032.52"/>
  </r>
  <r>
    <s v="STR-1055"/>
    <d v="2025-03-01T00:00:00"/>
    <x v="1"/>
    <s v="Airport"/>
    <n v="58785.33"/>
    <n v="4467"/>
    <n v="0.22900000000000001"/>
    <n v="14"/>
    <n v="90.7"/>
    <n v="1.92"/>
    <n v="0"/>
    <n v="3.7"/>
    <n v="673348.56"/>
    <n v="69464.59"/>
  </r>
  <r>
    <s v="STR-1055"/>
    <d v="2025-04-01T00:00:00"/>
    <x v="1"/>
    <s v="Airport"/>
    <n v="16451.849999999999"/>
    <n v="4678"/>
    <n v="0.13300000000000001"/>
    <n v="11"/>
    <n v="95.9"/>
    <n v="3.1"/>
    <n v="0"/>
    <n v="3.9"/>
    <n v="606278.30000000005"/>
    <n v="102213.26"/>
  </r>
  <r>
    <s v="STR-1056"/>
    <d v="2025-01-01T00:00:00"/>
    <x v="0"/>
    <s v="High Street"/>
    <n v="53367.73"/>
    <n v="7291"/>
    <n v="0.14599999999999999"/>
    <n v="18"/>
    <n v="90.6"/>
    <n v="6.34"/>
    <n v="1"/>
    <n v="3.8"/>
    <n v="712219.81"/>
    <n v="85906.54"/>
  </r>
  <r>
    <s v="STR-1056"/>
    <d v="2025-02-01T00:00:00"/>
    <x v="0"/>
    <s v="High Street"/>
    <n v="27194.639999999999"/>
    <n v="7404"/>
    <n v="8.7999999999999995E-2"/>
    <n v="18"/>
    <n v="90.2"/>
    <n v="1.2"/>
    <n v="0"/>
    <n v="3.4"/>
    <n v="672670.54"/>
    <n v="132684.18"/>
  </r>
  <r>
    <s v="STR-1056"/>
    <d v="2025-03-01T00:00:00"/>
    <x v="0"/>
    <s v="High Street"/>
    <n v="66962.740000000005"/>
    <n v="7880"/>
    <n v="0.11600000000000001"/>
    <n v="19"/>
    <n v="90.4"/>
    <n v="4.5"/>
    <n v="0"/>
    <n v="3.3"/>
    <n v="732667.92"/>
    <n v="128654.46"/>
  </r>
  <r>
    <s v="STR-1056"/>
    <d v="2025-04-01T00:00:00"/>
    <x v="0"/>
    <s v="High Street"/>
    <n v="73540.990000000005"/>
    <n v="8773"/>
    <n v="3.5000000000000003E-2"/>
    <n v="21"/>
    <n v="84.4"/>
    <n v="6.68"/>
    <n v="0"/>
    <n v="3.6"/>
    <n v="723531.4"/>
    <n v="108794.85"/>
  </r>
  <r>
    <s v="STR-1057"/>
    <d v="2025-01-01T00:00:00"/>
    <x v="0"/>
    <s v="Mall"/>
    <n v="68212.289999999994"/>
    <n v="4713"/>
    <n v="0.19800000000000001"/>
    <n v="15"/>
    <n v="82.6"/>
    <n v="4.07"/>
    <n v="1"/>
    <n v="3"/>
    <n v="641564.6"/>
    <n v="90468.96"/>
  </r>
  <r>
    <s v="STR-1057"/>
    <d v="2025-02-01T00:00:00"/>
    <x v="0"/>
    <s v="Mall"/>
    <n v="57225.98"/>
    <n v="2842"/>
    <n v="0.112"/>
    <n v="10"/>
    <n v="79.5"/>
    <n v="5.45"/>
    <n v="0"/>
    <n v="3.4"/>
    <n v="536545.49"/>
    <n v="97917.45"/>
  </r>
  <r>
    <s v="STR-1057"/>
    <d v="2025-03-01T00:00:00"/>
    <x v="0"/>
    <s v="Mall"/>
    <n v="42932.02"/>
    <n v="3872"/>
    <n v="0.17100000000000001"/>
    <n v="12"/>
    <n v="83.2"/>
    <n v="15.58"/>
    <n v="0"/>
    <n v="3.3"/>
    <n v="527681.56000000006"/>
    <n v="63153.05"/>
  </r>
  <r>
    <s v="STR-1057"/>
    <d v="2025-04-01T00:00:00"/>
    <x v="0"/>
    <s v="Mall"/>
    <n v="39341.449999999997"/>
    <n v="1375"/>
    <n v="9.2999999999999999E-2"/>
    <n v="5"/>
    <n v="95"/>
    <n v="5.32"/>
    <n v="0"/>
    <m/>
    <n v="529598.93999999994"/>
    <n v="84334.33"/>
  </r>
  <r>
    <s v="STR-1058"/>
    <d v="2025-01-01T00:00:00"/>
    <x v="0"/>
    <s v="High Street"/>
    <n v="37324.230000000003"/>
    <n v="5957"/>
    <n v="7.0999999999999994E-2"/>
    <n v="12"/>
    <n v="85.9"/>
    <n v="0.37"/>
    <n v="0"/>
    <n v="3.8"/>
    <n v="570963.31000000006"/>
    <n v="87342.25"/>
  </r>
  <r>
    <s v="STR-1058"/>
    <d v="2025-02-01T00:00:00"/>
    <x v="0"/>
    <s v="High Street"/>
    <n v="113736"/>
    <n v="8961"/>
    <n v="0.20200000000000001"/>
    <n v="24"/>
    <n v="86.2"/>
    <n v="21.63"/>
    <n v="0"/>
    <n v="4"/>
    <n v="870937.4"/>
    <n v="175282.74"/>
  </r>
  <r>
    <s v="STR-1058"/>
    <d v="2025-03-01T00:00:00"/>
    <x v="0"/>
    <s v="High Street"/>
    <n v="33173.949999999997"/>
    <n v="6545"/>
    <n v="0.16900000000000001"/>
    <n v="15"/>
    <n v="84.4"/>
    <n v="2.48"/>
    <n v="0"/>
    <n v="3.9"/>
    <n v="596969.27"/>
    <n v="105669.51"/>
  </r>
  <r>
    <s v="STR-1058"/>
    <d v="2025-04-01T00:00:00"/>
    <x v="0"/>
    <s v="High Street"/>
    <n v="25818.080000000002"/>
    <n v="5457"/>
    <n v="0"/>
    <n v="11"/>
    <n v="95.4"/>
    <m/>
    <n v="0"/>
    <n v="3.7"/>
    <n v="647512.85"/>
    <n v="153835.57"/>
  </r>
  <r>
    <s v="STR-1059"/>
    <d v="2025-01-01T00:00:00"/>
    <x v="3"/>
    <s v="Residential"/>
    <n v="47241.919999999998"/>
    <n v="4264"/>
    <n v="6.9000000000000006E-2"/>
    <n v="13"/>
    <n v="95.3"/>
    <n v="0.85"/>
    <n v="0"/>
    <n v="4.3"/>
    <n v="658072.14"/>
    <n v="110595.89"/>
  </r>
  <r>
    <s v="STR-1059"/>
    <d v="2025-02-01T00:00:00"/>
    <x v="3"/>
    <s v="Residential"/>
    <n v="61650.79"/>
    <n v="5321"/>
    <n v="0.126"/>
    <n v="17"/>
    <n v="89.2"/>
    <n v="2.13"/>
    <n v="0"/>
    <n v="4"/>
    <n v="723305.11"/>
    <n v="128468.7"/>
  </r>
  <r>
    <s v="STR-1059"/>
    <d v="2025-03-01T00:00:00"/>
    <x v="3"/>
    <s v="Residential"/>
    <n v="62582.71"/>
    <n v="5479"/>
    <n v="4.8000000000000001E-2"/>
    <n v="16"/>
    <n v="81.2"/>
    <n v="1.46"/>
    <n v="0"/>
    <n v="4.5"/>
    <n v="640666.53"/>
    <n v="134919.16"/>
  </r>
  <r>
    <s v="STR-1059"/>
    <d v="2025-04-01T00:00:00"/>
    <x v="3"/>
    <s v="Residential"/>
    <n v="47944.14"/>
    <n v="6169"/>
    <n v="0.11899999999999999"/>
    <n v="17"/>
    <n v="92.2"/>
    <n v="3.02"/>
    <n v="0"/>
    <n v="4.0999999999999996"/>
    <n v="670629.48"/>
    <n v="100140.8"/>
  </r>
  <r>
    <s v="STR-1060"/>
    <d v="2025-01-01T00:00:00"/>
    <x v="3"/>
    <s v="Mall"/>
    <n v="46495.4"/>
    <n v="9908"/>
    <n v="0.121"/>
    <n v="22"/>
    <n v="89.4"/>
    <n v="3.22"/>
    <n v="0"/>
    <n v="3.7"/>
    <n v="721079.35"/>
    <n v="115295.05"/>
  </r>
  <r>
    <s v="STR-1060"/>
    <d v="2025-02-01T00:00:00"/>
    <x v="3"/>
    <s v="Mall"/>
    <n v="72961.95"/>
    <n v="9996"/>
    <n v="0.106"/>
    <n v="22"/>
    <n v="89.1"/>
    <n v="15.66"/>
    <n v="0"/>
    <n v="3.4"/>
    <n v="810355.02"/>
    <n v="131510"/>
  </r>
  <r>
    <s v="STR-1060"/>
    <d v="2025-03-01T00:00:00"/>
    <x v="3"/>
    <s v="Mall"/>
    <n v="59060.05"/>
    <n v="9702"/>
    <n v="0.20100000000000001"/>
    <n v="23"/>
    <n v="80.900000000000006"/>
    <n v="6.96"/>
    <n v="0"/>
    <n v="3.2"/>
    <n v="761919.25"/>
    <n v="111893.06"/>
  </r>
  <r>
    <s v="STR-1060"/>
    <d v="2025-04-01T00:00:00"/>
    <x v="3"/>
    <s v="Mall"/>
    <n v="26248.1"/>
    <n v="9314"/>
    <n v="0.186"/>
    <n v="21"/>
    <n v="83.7"/>
    <n v="4.62"/>
    <n v="0"/>
    <n v="3.3"/>
    <n v="737070.18"/>
    <n v="117593.97"/>
  </r>
  <r>
    <s v="STR-1061"/>
    <d v="2025-01-01T00:00:00"/>
    <x v="2"/>
    <s v="Airport"/>
    <n v="69900.12"/>
    <n v="8055"/>
    <n v="0.28100000000000003"/>
    <n v="22"/>
    <n v="85.6"/>
    <n v="10.68"/>
    <n v="1"/>
    <n v="2.9"/>
    <n v="776992.93"/>
    <n v="101598.32"/>
  </r>
  <r>
    <s v="STR-1061"/>
    <d v="2025-02-01T00:00:00"/>
    <x v="2"/>
    <s v="Airport"/>
    <n v="51781.599999999999"/>
    <n v="5648"/>
    <n v="5.8999999999999997E-2"/>
    <n v="13"/>
    <n v="85.5"/>
    <n v="4.04"/>
    <n v="0"/>
    <n v="3.7"/>
    <n v="676337.41"/>
    <n v="104355.77"/>
  </r>
  <r>
    <s v="STR-1061"/>
    <d v="2025-03-01T00:00:00"/>
    <x v="2"/>
    <s v="Airport"/>
    <n v="70799.64"/>
    <n v="10076"/>
    <n v="0.152"/>
    <n v="24"/>
    <n v="84.8"/>
    <n v="1.87"/>
    <n v="0"/>
    <n v="3.5"/>
    <n v="828219.67"/>
    <n v="179806.87"/>
  </r>
  <r>
    <s v="STR-1061"/>
    <d v="2025-04-01T00:00:00"/>
    <x v="2"/>
    <s v="Airport"/>
    <n v="53546.34"/>
    <n v="8004"/>
    <n v="0"/>
    <n v="21"/>
    <n v="95.2"/>
    <n v="2.83"/>
    <n v="0"/>
    <n v="3"/>
    <n v="763159.92"/>
    <n v="177104.87"/>
  </r>
  <r>
    <s v="STR-1062"/>
    <d v="2025-01-01T00:00:00"/>
    <x v="0"/>
    <s v="High Street"/>
    <n v="76942.2"/>
    <n v="8934"/>
    <n v="8.4000000000000005E-2"/>
    <n v="20"/>
    <n v="91"/>
    <n v="0.95"/>
    <n v="0"/>
    <n v="3.2"/>
    <n v="802001.68"/>
    <n v="159715.82"/>
  </r>
  <r>
    <s v="STR-1062"/>
    <d v="2025-02-01T00:00:00"/>
    <x v="0"/>
    <s v="High Street"/>
    <n v="48060.78"/>
    <n v="8733"/>
    <n v="0"/>
    <n v="20"/>
    <n v="89.9"/>
    <n v="0.8"/>
    <n v="0"/>
    <n v="3.4"/>
    <n v="750471.34"/>
    <n v="133788.04"/>
  </r>
  <r>
    <s v="STR-1062"/>
    <d v="2025-03-01T00:00:00"/>
    <x v="0"/>
    <s v="High Street"/>
    <n v="57390.04"/>
    <n v="7374"/>
    <n v="0.21"/>
    <n v="21"/>
    <n v="91.8"/>
    <n v="0.2"/>
    <n v="0"/>
    <n v="3.1"/>
    <n v="679230.86"/>
    <n v="106927.58"/>
  </r>
  <r>
    <s v="STR-1062"/>
    <d v="2025-04-01T00:00:00"/>
    <x v="0"/>
    <s v="High Street"/>
    <n v="21536.18"/>
    <n v="8119"/>
    <n v="0.22700000000000001"/>
    <n v="20"/>
    <n v="90.4"/>
    <n v="1.7"/>
    <n v="0"/>
    <n v="3.3"/>
    <n v="679888.74"/>
    <n v="83406.89"/>
  </r>
  <r>
    <s v="STR-1063"/>
    <d v="2025-01-01T00:00:00"/>
    <x v="1"/>
    <s v="High Street"/>
    <n v="40923.67"/>
    <n v="3875"/>
    <n v="0.15"/>
    <n v="10"/>
    <n v="96.1"/>
    <m/>
    <n v="0"/>
    <n v="3.8"/>
    <n v="606783.67000000004"/>
    <n v="74515.87"/>
  </r>
  <r>
    <s v="STR-1063"/>
    <d v="2025-02-01T00:00:00"/>
    <x v="1"/>
    <s v="High Street"/>
    <n v="72932.55"/>
    <n v="5765"/>
    <n v="2.5999999999999999E-2"/>
    <n v="17"/>
    <n v="81.8"/>
    <n v="5.0999999999999996"/>
    <n v="0"/>
    <n v="3.6"/>
    <n v="642751.42000000004"/>
    <n v="131942.15"/>
  </r>
  <r>
    <s v="STR-1063"/>
    <d v="2025-03-01T00:00:00"/>
    <x v="1"/>
    <s v="High Street"/>
    <n v="38361.93"/>
    <n v="6322"/>
    <n v="0.27300000000000002"/>
    <n v="15"/>
    <n v="88.4"/>
    <n v="0.83"/>
    <n v="0"/>
    <n v="4"/>
    <n v="647953.78"/>
    <n v="118497.43"/>
  </r>
  <r>
    <s v="STR-1063"/>
    <d v="2025-04-01T00:00:00"/>
    <x v="1"/>
    <s v="High Street"/>
    <n v="97480.94"/>
    <n v="6840"/>
    <n v="8.6999999999999994E-2"/>
    <n v="14"/>
    <n v="79.2"/>
    <n v="1.1399999999999999"/>
    <n v="0"/>
    <n v="4"/>
    <n v="729440.45"/>
    <n v="87614.29"/>
  </r>
  <r>
    <s v="STR-1064"/>
    <d v="2025-01-01T00:00:00"/>
    <x v="2"/>
    <s v="Airport"/>
    <n v="81801.8"/>
    <n v="6782"/>
    <n v="0.05"/>
    <n v="16"/>
    <n v="99"/>
    <n v="9.5399999999999991"/>
    <n v="0"/>
    <n v="3.7"/>
    <n v="764949"/>
    <n v="148322.43"/>
  </r>
  <r>
    <s v="STR-1064"/>
    <d v="2025-02-01T00:00:00"/>
    <x v="2"/>
    <s v="Airport"/>
    <n v="63582.11"/>
    <n v="6856"/>
    <n v="7.3999999999999996E-2"/>
    <n v="17"/>
    <n v="89.5"/>
    <n v="5.48"/>
    <n v="0"/>
    <n v="3.2"/>
    <n v="799046.94"/>
    <n v="144553.64000000001"/>
  </r>
  <r>
    <s v="STR-1064"/>
    <d v="2025-03-01T00:00:00"/>
    <x v="2"/>
    <s v="Airport"/>
    <n v="75412.740000000005"/>
    <n v="5641"/>
    <n v="5.8999999999999997E-2"/>
    <n v="13"/>
    <n v="87.9"/>
    <n v="0.84"/>
    <n v="0"/>
    <n v="3.6"/>
    <n v="720079.54"/>
    <n v="119499.47"/>
  </r>
  <r>
    <s v="STR-1064"/>
    <d v="2025-04-01T00:00:00"/>
    <x v="2"/>
    <s v="Airport"/>
    <n v="36290.080000000002"/>
    <n v="5787"/>
    <n v="0"/>
    <n v="17"/>
    <n v="88.3"/>
    <n v="4.1900000000000004"/>
    <n v="0"/>
    <n v="4.0999999999999996"/>
    <n v="612390.14"/>
    <n v="108985.74"/>
  </r>
  <r>
    <s v="STR-1065"/>
    <d v="2025-01-01T00:00:00"/>
    <x v="2"/>
    <s v="Mall"/>
    <n v="65272.58"/>
    <n v="8165"/>
    <n v="5.0999999999999997E-2"/>
    <n v="19"/>
    <n v="87.8"/>
    <n v="1.26"/>
    <n v="1"/>
    <n v="4.3"/>
    <n v="840108.12"/>
    <n v="126587.01"/>
  </r>
  <r>
    <s v="STR-1065"/>
    <d v="2025-02-01T00:00:00"/>
    <x v="2"/>
    <s v="Mall"/>
    <n v="28670.43"/>
    <n v="7574"/>
    <n v="0.114"/>
    <n v="19"/>
    <n v="82.7"/>
    <n v="2.74"/>
    <n v="0"/>
    <n v="4.5999999999999996"/>
    <n v="697888.09"/>
    <n v="116249.87"/>
  </r>
  <r>
    <s v="STR-1065"/>
    <d v="2025-03-01T00:00:00"/>
    <x v="2"/>
    <s v="Mall"/>
    <n v="44189.34"/>
    <n v="8634"/>
    <n v="0.14299999999999999"/>
    <n v="19"/>
    <n v="87.5"/>
    <n v="3.69"/>
    <n v="0"/>
    <n v="4.4000000000000004"/>
    <n v="746115.59"/>
    <n v="94662.96"/>
  </r>
  <r>
    <s v="STR-1065"/>
    <d v="2025-04-01T00:00:00"/>
    <x v="2"/>
    <s v="Mall"/>
    <n v="38397.82"/>
    <n v="7836"/>
    <n v="7.0000000000000001E-3"/>
    <n v="21"/>
    <n v="92.2"/>
    <n v="1.82"/>
    <n v="0"/>
    <n v="3.6"/>
    <n v="776110.32"/>
    <n v="139676.21"/>
  </r>
  <r>
    <s v="STR-1066"/>
    <d v="2025-01-01T00:00:00"/>
    <x v="3"/>
    <s v="High Street"/>
    <n v="14519.37"/>
    <n v="3047"/>
    <n v="0.13500000000000001"/>
    <n v="10"/>
    <n v="90.3"/>
    <n v="6.62"/>
    <n v="0"/>
    <n v="4.2"/>
    <n v="528852.62"/>
    <n v="68426.210000000006"/>
  </r>
  <r>
    <s v="STR-1066"/>
    <d v="2025-02-01T00:00:00"/>
    <x v="3"/>
    <s v="High Street"/>
    <n v="43288.2"/>
    <n v="4783"/>
    <n v="0.16900000000000001"/>
    <n v="13"/>
    <n v="87.3"/>
    <m/>
    <n v="0"/>
    <n v="4.2"/>
    <n v="605751.32999999996"/>
    <n v="60685.53"/>
  </r>
  <r>
    <s v="STR-1066"/>
    <d v="2025-03-01T00:00:00"/>
    <x v="3"/>
    <s v="High Street"/>
    <n v="51450.55"/>
    <n v="4902"/>
    <n v="8.5999999999999993E-2"/>
    <n v="11"/>
    <n v="83.7"/>
    <n v="6.92"/>
    <n v="1"/>
    <n v="4.2"/>
    <n v="677640.65"/>
    <n v="111610.89"/>
  </r>
  <r>
    <s v="STR-1066"/>
    <d v="2025-04-01T00:00:00"/>
    <x v="3"/>
    <s v="High Street"/>
    <n v="58688.26"/>
    <n v="4022"/>
    <n v="0.217"/>
    <n v="12"/>
    <n v="93.8"/>
    <n v="11.78"/>
    <n v="0"/>
    <n v="3.7"/>
    <n v="636613.23"/>
    <n v="78908.350000000006"/>
  </r>
  <r>
    <s v="STR-1067"/>
    <d v="2025-01-01T00:00:00"/>
    <x v="0"/>
    <s v="High Street"/>
    <n v="58981.91"/>
    <n v="7324"/>
    <n v="9.4E-2"/>
    <n v="15"/>
    <n v="95.8"/>
    <n v="0.5"/>
    <n v="0"/>
    <n v="3.5"/>
    <n v="708985.19"/>
    <n v="125368.16"/>
  </r>
  <r>
    <s v="STR-1067"/>
    <d v="2025-02-01T00:00:00"/>
    <x v="0"/>
    <s v="High Street"/>
    <n v="73454.539999999994"/>
    <n v="8129"/>
    <n v="0.21099999999999999"/>
    <n v="20"/>
    <n v="85.2"/>
    <n v="0.88"/>
    <n v="0"/>
    <n v="3.7"/>
    <n v="767792.94"/>
    <n v="96235.77"/>
  </r>
  <r>
    <s v="STR-1067"/>
    <d v="2025-03-01T00:00:00"/>
    <x v="0"/>
    <s v="High Street"/>
    <n v="56602.39"/>
    <n v="7969"/>
    <n v="0.17"/>
    <n v="21"/>
    <n v="88.3"/>
    <n v="2.25"/>
    <n v="0"/>
    <n v="3.7"/>
    <n v="745580.51"/>
    <n v="116273.68"/>
  </r>
  <r>
    <s v="STR-1067"/>
    <d v="2025-04-01T00:00:00"/>
    <x v="0"/>
    <s v="High Street"/>
    <n v="67722.289999999994"/>
    <n v="7240"/>
    <n v="2.5999999999999999E-2"/>
    <n v="15"/>
    <n v="92.9"/>
    <n v="0.28999999999999998"/>
    <n v="0"/>
    <n v="3.5"/>
    <n v="762328.31"/>
    <n v="159158.19"/>
  </r>
  <r>
    <s v="STR-1068"/>
    <d v="2025-01-01T00:00:00"/>
    <x v="0"/>
    <s v="Mall"/>
    <n v="48752.92"/>
    <n v="8052"/>
    <n v="0.106"/>
    <n v="16"/>
    <n v="94.9"/>
    <n v="0.65"/>
    <n v="0"/>
    <n v="3.6"/>
    <n v="660633.99"/>
    <n v="118768.66"/>
  </r>
  <r>
    <s v="STR-1068"/>
    <d v="2025-02-01T00:00:00"/>
    <x v="0"/>
    <s v="Mall"/>
    <n v="23914.97"/>
    <n v="8018"/>
    <n v="0.13900000000000001"/>
    <n v="20"/>
    <n v="89"/>
    <n v="0.2"/>
    <n v="0"/>
    <n v="3.5"/>
    <n v="739374.56"/>
    <n v="121032.29"/>
  </r>
  <r>
    <s v="STR-1068"/>
    <d v="2025-03-01T00:00:00"/>
    <x v="0"/>
    <s v="Mall"/>
    <n v="61995.3"/>
    <n v="10192"/>
    <n v="0.19800000000000001"/>
    <n v="21"/>
    <n v="87.6"/>
    <n v="3.63"/>
    <n v="1"/>
    <n v="3.8"/>
    <n v="799756.46"/>
    <n v="105052.93"/>
  </r>
  <r>
    <s v="STR-1068"/>
    <d v="2025-04-01T00:00:00"/>
    <x v="0"/>
    <s v="Mall"/>
    <n v="29344.93"/>
    <n v="7446"/>
    <n v="0.111"/>
    <n v="15"/>
    <n v="86.2"/>
    <n v="0.2"/>
    <n v="0"/>
    <n v="3.2"/>
    <n v="593343"/>
    <n v="82832.240000000005"/>
  </r>
  <r>
    <s v="STR-1069"/>
    <d v="2025-01-01T00:00:00"/>
    <x v="3"/>
    <s v="High Street"/>
    <n v="50532.17"/>
    <n v="5689"/>
    <n v="5.1999999999999998E-2"/>
    <n v="17"/>
    <n v="85.6"/>
    <n v="6.23"/>
    <n v="0"/>
    <n v="3.3"/>
    <n v="645039.97"/>
    <n v="83093.33"/>
  </r>
  <r>
    <s v="STR-1069"/>
    <d v="2025-02-01T00:00:00"/>
    <x v="3"/>
    <s v="High Street"/>
    <n v="17562.57"/>
    <n v="3326"/>
    <n v="0.153"/>
    <n v="14"/>
    <n v="88.1"/>
    <n v="1.04"/>
    <n v="0"/>
    <n v="3.1"/>
    <n v="561597.32999999996"/>
    <n v="75072.75"/>
  </r>
  <r>
    <s v="STR-1069"/>
    <d v="2025-03-01T00:00:00"/>
    <x v="3"/>
    <s v="High Street"/>
    <n v="47648.71"/>
    <n v="5767"/>
    <n v="0.14099999999999999"/>
    <n v="17"/>
    <n v="89.8"/>
    <n v="1.76"/>
    <n v="0"/>
    <n v="3.1"/>
    <n v="635837.74"/>
    <n v="114740.64"/>
  </r>
  <r>
    <s v="STR-1069"/>
    <d v="2025-04-01T00:00:00"/>
    <x v="3"/>
    <s v="High Street"/>
    <n v="38297.58"/>
    <n v="5893"/>
    <n v="0.247"/>
    <n v="18"/>
    <n v="77.599999999999994"/>
    <n v="2.86"/>
    <n v="0"/>
    <n v="3"/>
    <n v="686737.87"/>
    <n v="83839.67"/>
  </r>
  <r>
    <s v="STR-1070"/>
    <d v="2025-01-01T00:00:00"/>
    <x v="2"/>
    <s v="Residential"/>
    <n v="61784.11"/>
    <n v="8564"/>
    <n v="0.13"/>
    <n v="17"/>
    <n v="87.4"/>
    <n v="18.14"/>
    <n v="1"/>
    <n v="3.4"/>
    <n v="673076.34"/>
    <n v="93899.76"/>
  </r>
  <r>
    <s v="STR-1070"/>
    <d v="2025-02-01T00:00:00"/>
    <x v="2"/>
    <s v="Residential"/>
    <n v="36832.33"/>
    <n v="8001"/>
    <n v="0"/>
    <n v="19"/>
    <n v="88.7"/>
    <n v="3.39"/>
    <n v="0"/>
    <n v="4"/>
    <n v="738548.42"/>
    <n v="134282.76999999999"/>
  </r>
  <r>
    <s v="STR-1070"/>
    <d v="2025-03-01T00:00:00"/>
    <x v="2"/>
    <s v="Residential"/>
    <n v="48609.41"/>
    <n v="9324"/>
    <n v="0.21299999999999999"/>
    <n v="18"/>
    <n v="86.5"/>
    <n v="1.44"/>
    <n v="0"/>
    <n v="3.9"/>
    <n v="756619.77"/>
    <n v="112057.69"/>
  </r>
  <r>
    <s v="STR-1070"/>
    <d v="2025-04-01T00:00:00"/>
    <x v="2"/>
    <s v="Residential"/>
    <n v="70284.06"/>
    <n v="9109"/>
    <n v="4.0000000000000001E-3"/>
    <n v="23"/>
    <n v="87"/>
    <n v="3.65"/>
    <n v="0"/>
    <n v="3.7"/>
    <n v="761122.42"/>
    <n v="149802.04"/>
  </r>
  <r>
    <s v="STR-1071"/>
    <d v="2025-01-01T00:00:00"/>
    <x v="2"/>
    <s v="High Street"/>
    <n v="45940.39"/>
    <n v="4022"/>
    <n v="6.9000000000000006E-2"/>
    <n v="10"/>
    <n v="83"/>
    <n v="1.23"/>
    <n v="1"/>
    <n v="3.8"/>
    <n v="524899.56999999995"/>
    <n v="63619.98"/>
  </r>
  <r>
    <s v="STR-1071"/>
    <d v="2025-02-01T00:00:00"/>
    <x v="2"/>
    <s v="High Street"/>
    <n v="34771.26"/>
    <n v="4355"/>
    <n v="5.0999999999999997E-2"/>
    <n v="15"/>
    <n v="87.9"/>
    <n v="3.09"/>
    <n v="0"/>
    <n v="4"/>
    <n v="555557.77"/>
    <n v="86475.51"/>
  </r>
  <r>
    <s v="STR-1071"/>
    <d v="2025-03-01T00:00:00"/>
    <x v="2"/>
    <s v="High Street"/>
    <n v="66104.19"/>
    <n v="5745"/>
    <n v="7.0000000000000007E-2"/>
    <n v="17"/>
    <n v="95.8"/>
    <n v="3.15"/>
    <n v="0"/>
    <n v="4"/>
    <n v="714083.68"/>
    <n v="127231.74"/>
  </r>
  <r>
    <s v="STR-1071"/>
    <d v="2025-04-01T00:00:00"/>
    <x v="2"/>
    <s v="High Street"/>
    <n v="18599.21"/>
    <n v="3027"/>
    <n v="0.122"/>
    <n v="11"/>
    <n v="80.900000000000006"/>
    <n v="6.44"/>
    <n v="0"/>
    <n v="4.2"/>
    <n v="497439.82"/>
    <n v="93372.75"/>
  </r>
  <r>
    <s v="STR-1072"/>
    <d v="2025-01-01T00:00:00"/>
    <x v="3"/>
    <s v="Residential"/>
    <n v="60183.06"/>
    <n v="5562"/>
    <n v="8.9999999999999993E-3"/>
    <n v="13"/>
    <n v="86.3"/>
    <n v="0.2"/>
    <n v="1"/>
    <n v="4.5"/>
    <n v="636775.66"/>
    <n v="122636.86"/>
  </r>
  <r>
    <s v="STR-1072"/>
    <d v="2025-02-01T00:00:00"/>
    <x v="3"/>
    <s v="Residential"/>
    <n v="74539.14"/>
    <n v="4487"/>
    <n v="0.14000000000000001"/>
    <n v="10"/>
    <n v="90.4"/>
    <n v="0.59"/>
    <n v="0"/>
    <n v="4.5"/>
    <n v="633009.53"/>
    <n v="123782.67"/>
  </r>
  <r>
    <s v="STR-1072"/>
    <d v="2025-03-01T00:00:00"/>
    <x v="3"/>
    <s v="Residential"/>
    <n v="55371.97"/>
    <n v="4162"/>
    <n v="0.183"/>
    <n v="11"/>
    <n v="92"/>
    <n v="0.2"/>
    <n v="1"/>
    <n v="4.2"/>
    <n v="609949"/>
    <n v="126789.25"/>
  </r>
  <r>
    <s v="STR-1072"/>
    <d v="2025-04-01T00:00:00"/>
    <x v="3"/>
    <s v="Residential"/>
    <n v="40928.69"/>
    <n v="4094"/>
    <n v="0.17399999999999999"/>
    <n v="13"/>
    <n v="82.4"/>
    <n v="1.36"/>
    <n v="0"/>
    <n v="4.8"/>
    <n v="548103.69999999995"/>
    <n v="99905.52"/>
  </r>
  <r>
    <s v="STR-1073"/>
    <d v="2025-01-01T00:00:00"/>
    <x v="0"/>
    <s v="Residential"/>
    <n v="70012.41"/>
    <n v="8484"/>
    <n v="0.27300000000000002"/>
    <n v="23"/>
    <n v="72.900000000000006"/>
    <n v="3.34"/>
    <n v="0"/>
    <n v="3.7"/>
    <n v="729424.42"/>
    <n v="75592.28"/>
  </r>
  <r>
    <s v="STR-1073"/>
    <d v="2025-02-01T00:00:00"/>
    <x v="0"/>
    <s v="Residential"/>
    <n v="68909.259999999995"/>
    <n v="7794"/>
    <n v="0.28399999999999997"/>
    <n v="22"/>
    <n v="89"/>
    <n v="0.33"/>
    <n v="0"/>
    <n v="4"/>
    <n v="696261.49"/>
    <n v="72455.350000000006"/>
  </r>
  <r>
    <s v="STR-1073"/>
    <d v="2025-03-01T00:00:00"/>
    <x v="0"/>
    <s v="Residential"/>
    <n v="56737.3"/>
    <n v="8300"/>
    <n v="3.2000000000000001E-2"/>
    <n v="21"/>
    <n v="83.2"/>
    <n v="3.44"/>
    <n v="1"/>
    <n v="4.3"/>
    <n v="813316.71"/>
    <n v="110077.42"/>
  </r>
  <r>
    <s v="STR-1073"/>
    <d v="2025-04-01T00:00:00"/>
    <x v="0"/>
    <s v="Residential"/>
    <n v="54080.91"/>
    <n v="7083"/>
    <n v="0"/>
    <n v="15"/>
    <n v="97"/>
    <n v="5.33"/>
    <n v="0"/>
    <n v="4.0999999999999996"/>
    <n v="702068.92"/>
    <n v="111266.63"/>
  </r>
  <r>
    <s v="STR-1074"/>
    <d v="2025-01-01T00:00:00"/>
    <x v="3"/>
    <s v="High Street"/>
    <n v="51996.32"/>
    <n v="3834"/>
    <n v="9.6000000000000002E-2"/>
    <n v="8"/>
    <n v="86.7"/>
    <n v="6.04"/>
    <n v="0"/>
    <n v="4.5"/>
    <n v="546223.69999999995"/>
    <n v="100769.17"/>
  </r>
  <r>
    <s v="STR-1074"/>
    <d v="2025-02-01T00:00:00"/>
    <x v="3"/>
    <s v="High Street"/>
    <n v="40102.879999999997"/>
    <n v="2358"/>
    <n v="0.11899999999999999"/>
    <n v="9"/>
    <n v="88.7"/>
    <n v="1.6"/>
    <n v="0"/>
    <n v="4.2"/>
    <n v="533121.26"/>
    <n v="55063.39"/>
  </r>
  <r>
    <s v="STR-1074"/>
    <d v="2025-03-01T00:00:00"/>
    <x v="3"/>
    <s v="High Street"/>
    <n v="59825.51"/>
    <n v="1231"/>
    <n v="0.214"/>
    <n v="10"/>
    <n v="84.8"/>
    <n v="8.9600000000000009"/>
    <n v="0"/>
    <n v="4.7"/>
    <n v="498970.32"/>
    <n v="69656.7"/>
  </r>
  <r>
    <s v="STR-1074"/>
    <d v="2025-04-01T00:00:00"/>
    <x v="3"/>
    <s v="High Street"/>
    <n v="27398.28"/>
    <n v="1723"/>
    <n v="0.17100000000000001"/>
    <n v="9"/>
    <n v="81"/>
    <n v="0.74"/>
    <n v="0"/>
    <n v="4.5999999999999996"/>
    <n v="487738.26"/>
    <n v="96435.6"/>
  </r>
  <r>
    <s v="STR-1075"/>
    <d v="2025-01-01T00:00:00"/>
    <x v="3"/>
    <s v="High Street"/>
    <n v="55599.56"/>
    <n v="5896"/>
    <n v="3.5999999999999997E-2"/>
    <n v="12"/>
    <n v="93.1"/>
    <n v="6.13"/>
    <n v="0"/>
    <n v="3.3"/>
    <n v="668459.37"/>
    <n v="126435.42"/>
  </r>
  <r>
    <s v="STR-1075"/>
    <d v="2025-02-01T00:00:00"/>
    <x v="3"/>
    <s v="High Street"/>
    <n v="55477.61"/>
    <n v="5903"/>
    <n v="0.10199999999999999"/>
    <n v="14"/>
    <n v="96.2"/>
    <n v="1.41"/>
    <n v="0"/>
    <n v="3.3"/>
    <n v="763162.45"/>
    <n v="162524.04999999999"/>
  </r>
  <r>
    <s v="STR-1075"/>
    <d v="2025-03-01T00:00:00"/>
    <x v="3"/>
    <s v="High Street"/>
    <n v="46174.7"/>
    <n v="4898"/>
    <n v="0.114"/>
    <n v="11"/>
    <n v="91.7"/>
    <n v="3.75"/>
    <n v="0"/>
    <n v="3.1"/>
    <n v="599017.32999999996"/>
    <n v="134009.92000000001"/>
  </r>
  <r>
    <s v="STR-1075"/>
    <d v="2025-04-01T00:00:00"/>
    <x v="3"/>
    <s v="High Street"/>
    <n v="24362.98"/>
    <n v="1462"/>
    <n v="0.11700000000000001"/>
    <n v="6"/>
    <n v="89.3"/>
    <n v="15.06"/>
    <n v="0"/>
    <n v="3.2"/>
    <n v="401582.58"/>
    <n v="68454.929999999993"/>
  </r>
  <r>
    <s v="STR-1076"/>
    <d v="2025-01-01T00:00:00"/>
    <x v="1"/>
    <s v="Mall"/>
    <n v="40647.67"/>
    <n v="8252"/>
    <n v="0.14099999999999999"/>
    <n v="22"/>
    <n v="88.2"/>
    <n v="5.07"/>
    <n v="1"/>
    <n v="4.0999999999999996"/>
    <n v="703812.99"/>
    <n v="133577.98000000001"/>
  </r>
  <r>
    <s v="STR-1076"/>
    <d v="2025-02-01T00:00:00"/>
    <x v="1"/>
    <s v="Mall"/>
    <n v="63986.98"/>
    <n v="7989"/>
    <n v="7.3999999999999996E-2"/>
    <n v="20"/>
    <n v="83.3"/>
    <n v="3.6"/>
    <n v="0"/>
    <n v="3.7"/>
    <n v="724346.73"/>
    <n v="155013.91"/>
  </r>
  <r>
    <s v="STR-1076"/>
    <d v="2025-03-01T00:00:00"/>
    <x v="1"/>
    <s v="Mall"/>
    <n v="52843.75"/>
    <n v="8268"/>
    <n v="0.13800000000000001"/>
    <n v="19"/>
    <n v="87.3"/>
    <n v="4.3899999999999997"/>
    <n v="1"/>
    <n v="4.7"/>
    <n v="730890.01"/>
    <n v="105502.56"/>
  </r>
  <r>
    <s v="STR-1076"/>
    <d v="2025-04-01T00:00:00"/>
    <x v="1"/>
    <s v="Mall"/>
    <n v="31997.25"/>
    <n v="8183"/>
    <n v="0.19800000000000001"/>
    <n v="18"/>
    <n v="93"/>
    <n v="2.79"/>
    <n v="0"/>
    <n v="4.2"/>
    <n v="780580.95"/>
    <n v="138144.46"/>
  </r>
  <r>
    <s v="STR-1077"/>
    <d v="2025-01-01T00:00:00"/>
    <x v="2"/>
    <s v="Residential"/>
    <n v="54948.02"/>
    <n v="6534"/>
    <n v="0.183"/>
    <n v="14"/>
    <n v="94.5"/>
    <n v="1.56"/>
    <n v="0"/>
    <n v="4"/>
    <n v="727957.48"/>
    <n v="74805.23"/>
  </r>
  <r>
    <s v="STR-1077"/>
    <d v="2025-02-01T00:00:00"/>
    <x v="2"/>
    <s v="Residential"/>
    <n v="46146.239999999998"/>
    <n v="5804"/>
    <n v="4.7E-2"/>
    <n v="16"/>
    <n v="86.9"/>
    <n v="15.82"/>
    <n v="0"/>
    <n v="3.8"/>
    <n v="538376"/>
    <n v="87605.62"/>
  </r>
  <r>
    <s v="STR-1077"/>
    <d v="2025-03-01T00:00:00"/>
    <x v="2"/>
    <s v="Residential"/>
    <n v="22387.26"/>
    <n v="6301"/>
    <n v="0.14599999999999999"/>
    <n v="14"/>
    <n v="85.9"/>
    <n v="1.17"/>
    <n v="1"/>
    <n v="3.7"/>
    <n v="665342.49"/>
    <n v="93441.81"/>
  </r>
  <r>
    <s v="STR-1077"/>
    <d v="2025-04-01T00:00:00"/>
    <x v="2"/>
    <s v="Residential"/>
    <n v="60684.05"/>
    <n v="6399"/>
    <n v="7.4999999999999997E-2"/>
    <n v="16"/>
    <n v="99"/>
    <n v="3.82"/>
    <n v="0"/>
    <n v="3.5"/>
    <n v="651164.18000000005"/>
    <n v="109466.5"/>
  </r>
  <r>
    <s v="STR-1078"/>
    <d v="2025-01-01T00:00:00"/>
    <x v="2"/>
    <s v="High Street"/>
    <n v="48465.599999999999"/>
    <n v="5759"/>
    <n v="0.154"/>
    <n v="13"/>
    <n v="87.5"/>
    <n v="4.1399999999999997"/>
    <n v="0"/>
    <n v="4"/>
    <n v="628538.30000000005"/>
    <n v="112509.15"/>
  </r>
  <r>
    <s v="STR-1078"/>
    <d v="2025-02-01T00:00:00"/>
    <x v="2"/>
    <s v="High Street"/>
    <n v="23702.38"/>
    <n v="5285"/>
    <n v="0.16700000000000001"/>
    <n v="14"/>
    <n v="79.7"/>
    <n v="1.1000000000000001"/>
    <n v="0"/>
    <n v="4.3"/>
    <n v="536524.84"/>
    <n v="92752.94"/>
  </r>
  <r>
    <s v="STR-1078"/>
    <d v="2025-03-01T00:00:00"/>
    <x v="2"/>
    <s v="High Street"/>
    <n v="54322.94"/>
    <n v="5434"/>
    <n v="0.2"/>
    <n v="13"/>
    <n v="85.7"/>
    <n v="10.6"/>
    <n v="0"/>
    <n v="4.2"/>
    <n v="621677.30000000005"/>
    <n v="105192.52"/>
  </r>
  <r>
    <s v="STR-1078"/>
    <d v="2025-04-01T00:00:00"/>
    <x v="2"/>
    <s v="High Street"/>
    <n v="86026.58"/>
    <n v="7479"/>
    <n v="0.14199999999999999"/>
    <n v="20"/>
    <n v="89"/>
    <n v="0.9"/>
    <n v="0"/>
    <m/>
    <n v="771129.07"/>
    <n v="116851.13"/>
  </r>
  <r>
    <s v="STR-1079"/>
    <d v="2025-01-01T00:00:00"/>
    <x v="1"/>
    <s v="Residential"/>
    <n v="78967.520000000004"/>
    <n v="6164"/>
    <n v="2.1000000000000001E-2"/>
    <n v="16"/>
    <n v="85.5"/>
    <n v="0.2"/>
    <n v="0"/>
    <n v="3.4"/>
    <n v="702052.47"/>
    <n v="121732.51"/>
  </r>
  <r>
    <s v="STR-1079"/>
    <d v="2025-02-01T00:00:00"/>
    <x v="1"/>
    <s v="Residential"/>
    <n v="46767.99"/>
    <n v="7973"/>
    <n v="0.183"/>
    <n v="18"/>
    <n v="94.8"/>
    <n v="4.67"/>
    <n v="0"/>
    <m/>
    <n v="688368.46"/>
    <n v="93588.42"/>
  </r>
  <r>
    <s v="STR-1079"/>
    <d v="2025-03-01T00:00:00"/>
    <x v="1"/>
    <s v="Residential"/>
    <n v="62507.16"/>
    <n v="6000"/>
    <n v="9.0999999999999998E-2"/>
    <n v="14"/>
    <n v="98.2"/>
    <n v="4.38"/>
    <n v="1"/>
    <n v="3.9"/>
    <n v="712375.77"/>
    <n v="104171.53"/>
  </r>
  <r>
    <s v="STR-1079"/>
    <d v="2025-04-01T00:00:00"/>
    <x v="1"/>
    <s v="Residential"/>
    <n v="66456.28"/>
    <n v="9967"/>
    <n v="0.108"/>
    <n v="20"/>
    <n v="94.7"/>
    <n v="4.4800000000000004"/>
    <n v="0"/>
    <n v="4.2"/>
    <n v="844710.67"/>
    <n v="137140.18"/>
  </r>
  <r>
    <s v="STR-1080"/>
    <d v="2025-01-01T00:00:00"/>
    <x v="0"/>
    <s v="Residential"/>
    <n v="76614.320000000007"/>
    <n v="5639"/>
    <n v="0.17399999999999999"/>
    <n v="15"/>
    <n v="92.9"/>
    <n v="1.02"/>
    <n v="1"/>
    <n v="4"/>
    <n v="620264.19999999995"/>
    <n v="91365.64"/>
  </r>
  <r>
    <s v="STR-1080"/>
    <d v="2025-02-01T00:00:00"/>
    <x v="0"/>
    <s v="Residential"/>
    <n v="24088.06"/>
    <n v="3466"/>
    <n v="0"/>
    <n v="11"/>
    <n v="88"/>
    <n v="0.2"/>
    <n v="0"/>
    <n v="3.8"/>
    <n v="536845.42000000004"/>
    <n v="107473.75"/>
  </r>
  <r>
    <s v="STR-1080"/>
    <d v="2025-03-01T00:00:00"/>
    <x v="0"/>
    <s v="Residential"/>
    <n v="81902.58"/>
    <n v="7775"/>
    <n v="0.215"/>
    <n v="20"/>
    <n v="85.2"/>
    <n v="4.8899999999999997"/>
    <n v="1"/>
    <n v="4.2"/>
    <n v="726776.22"/>
    <n v="90804.49"/>
  </r>
  <r>
    <s v="STR-1080"/>
    <d v="2025-04-01T00:00:00"/>
    <x v="0"/>
    <s v="Residential"/>
    <n v="40553.11"/>
    <n v="5317"/>
    <n v="0.16500000000000001"/>
    <n v="17"/>
    <n v="84.3"/>
    <n v="11.82"/>
    <n v="0"/>
    <n v="4.0999999999999996"/>
    <n v="559660.84"/>
    <n v="71443.6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STR-1001"/>
    <d v="2025-01-01T00:00:00"/>
    <s v="East"/>
    <x v="0"/>
    <n v="70389.11"/>
    <n v="8302"/>
    <n v="4.2000000000000003E-2"/>
    <n v="17"/>
    <n v="75"/>
    <n v="5.28"/>
    <n v="1"/>
    <n v="3.1"/>
    <n v="658832.62"/>
    <n v="84349.93"/>
  </r>
  <r>
    <s v="STR-1001"/>
    <d v="2025-02-01T00:00:00"/>
    <s v="East"/>
    <x v="0"/>
    <n v="43827.89"/>
    <n v="8487"/>
    <n v="0.16800000000000001"/>
    <n v="23"/>
    <n v="84.4"/>
    <n v="4.3099999999999996"/>
    <n v="0"/>
    <n v="2.8"/>
    <n v="634436"/>
    <n v="106130.54"/>
  </r>
  <r>
    <s v="STR-1001"/>
    <d v="2025-03-01T00:00:00"/>
    <s v="East"/>
    <x v="0"/>
    <n v="59921.75"/>
    <n v="9113"/>
    <n v="0.13300000000000001"/>
    <n v="20"/>
    <n v="88"/>
    <n v="12"/>
    <n v="0"/>
    <n v="3.2"/>
    <n v="678722.06"/>
    <n v="101883.86"/>
  </r>
  <r>
    <s v="STR-1001"/>
    <d v="2025-04-01T00:00:00"/>
    <s v="East"/>
    <x v="0"/>
    <n v="56856.63"/>
    <n v="9431"/>
    <n v="0.14199999999999999"/>
    <n v="23"/>
    <n v="86.9"/>
    <n v="4.97"/>
    <n v="0"/>
    <n v="3.4"/>
    <n v="658920.30000000005"/>
    <n v="97910.37"/>
  </r>
  <r>
    <s v="STR-1002"/>
    <d v="2025-01-01T00:00:00"/>
    <s v="East"/>
    <x v="1"/>
    <n v="48412.639999999999"/>
    <n v="9545"/>
    <n v="0.23100000000000001"/>
    <n v="21"/>
    <n v="97.6"/>
    <n v="6.94"/>
    <n v="1"/>
    <n v="4.2"/>
    <n v="741341.44"/>
    <n v="119208.17"/>
  </r>
  <r>
    <s v="STR-1002"/>
    <d v="2025-02-01T00:00:00"/>
    <s v="East"/>
    <x v="1"/>
    <n v="64811.21"/>
    <n v="9792"/>
    <n v="0.112"/>
    <n v="20"/>
    <n v="84.2"/>
    <n v="2.88"/>
    <n v="0"/>
    <n v="4.2"/>
    <n v="761835.34"/>
    <n v="149602.23000000001"/>
  </r>
  <r>
    <s v="STR-1002"/>
    <d v="2025-03-01T00:00:00"/>
    <s v="East"/>
    <x v="1"/>
    <n v="46213.45"/>
    <n v="10616"/>
    <n v="0.122"/>
    <n v="22"/>
    <n v="85.2"/>
    <n v="0.2"/>
    <n v="1"/>
    <n v="4.0999999999999996"/>
    <n v="806615.54"/>
    <n v="131364.62"/>
  </r>
  <r>
    <s v="STR-1002"/>
    <d v="2025-04-01T00:00:00"/>
    <s v="East"/>
    <x v="1"/>
    <n v="68148.52"/>
    <n v="8567"/>
    <n v="0.127"/>
    <n v="23"/>
    <n v="95.6"/>
    <n v="0.8"/>
    <n v="0"/>
    <n v="3.9"/>
    <n v="850164.26"/>
    <n v="149262.75"/>
  </r>
  <r>
    <s v="STR-1003"/>
    <d v="2025-01-01T00:00:00"/>
    <s v="North"/>
    <x v="2"/>
    <n v="71838.86"/>
    <n v="10979"/>
    <n v="0.215"/>
    <n v="26"/>
    <n v="88.6"/>
    <n v="7.7"/>
    <n v="1"/>
    <n v="3.8"/>
    <n v="930581.7"/>
    <n v="136207.98000000001"/>
  </r>
  <r>
    <s v="STR-1003"/>
    <d v="2025-02-01T00:00:00"/>
    <s v="North"/>
    <x v="2"/>
    <n v="68133.440000000002"/>
    <n v="9459"/>
    <n v="0.22"/>
    <n v="21"/>
    <n v="85"/>
    <n v="1.91"/>
    <n v="0"/>
    <n v="4.2"/>
    <n v="779010.94"/>
    <n v="106328.09"/>
  </r>
  <r>
    <s v="STR-1003"/>
    <d v="2025-03-01T00:00:00"/>
    <s v="North"/>
    <x v="2"/>
    <n v="34285.21"/>
    <n v="9172"/>
    <n v="0.21299999999999999"/>
    <n v="22"/>
    <n v="88.3"/>
    <n v="10.46"/>
    <n v="1"/>
    <n v="3.8"/>
    <n v="723060.76"/>
    <n v="123131.24"/>
  </r>
  <r>
    <s v="STR-1003"/>
    <d v="2025-04-01T00:00:00"/>
    <s v="North"/>
    <x v="2"/>
    <n v="67979.88"/>
    <n v="11230"/>
    <n v="2E-3"/>
    <n v="28"/>
    <n v="85.3"/>
    <n v="7.16"/>
    <n v="0"/>
    <n v="3.8"/>
    <n v="910791.94"/>
    <n v="158891.28"/>
  </r>
  <r>
    <s v="STR-1004"/>
    <d v="2025-01-01T00:00:00"/>
    <s v="East"/>
    <x v="0"/>
    <n v="71828.259999999995"/>
    <n v="12775"/>
    <n v="0.11600000000000001"/>
    <n v="30"/>
    <n v="81.7"/>
    <n v="4.24"/>
    <n v="1"/>
    <n v="4.2"/>
    <n v="922168.6"/>
    <n v="107494.53"/>
  </r>
  <r>
    <s v="STR-1004"/>
    <d v="2025-02-01T00:00:00"/>
    <s v="East"/>
    <x v="0"/>
    <n v="55716.82"/>
    <n v="10054"/>
    <n v="0.14599999999999999"/>
    <n v="24"/>
    <n v="84.9"/>
    <n v="1.06"/>
    <n v="0"/>
    <n v="4.3"/>
    <n v="726606.28"/>
    <n v="122729.29"/>
  </r>
  <r>
    <s v="STR-1004"/>
    <d v="2025-03-01T00:00:00"/>
    <s v="East"/>
    <x v="0"/>
    <n v="59909.51"/>
    <n v="8895"/>
    <n v="0.22800000000000001"/>
    <n v="23"/>
    <n v="88.8"/>
    <n v="0.27"/>
    <n v="0"/>
    <n v="4.3"/>
    <n v="746501.09"/>
    <n v="136816.72"/>
  </r>
  <r>
    <s v="STR-1004"/>
    <d v="2025-04-01T00:00:00"/>
    <s v="East"/>
    <x v="0"/>
    <n v="75305.710000000006"/>
    <n v="10940"/>
    <n v="6.0000000000000001E-3"/>
    <n v="26"/>
    <n v="76.5"/>
    <n v="1.32"/>
    <n v="0"/>
    <n v="4.5"/>
    <n v="834017.02"/>
    <n v="114745.03"/>
  </r>
  <r>
    <s v="STR-1005"/>
    <d v="2025-01-01T00:00:00"/>
    <s v="South"/>
    <x v="0"/>
    <n v="48804.22"/>
    <n v="7057"/>
    <n v="5.0000000000000001E-3"/>
    <n v="15"/>
    <n v="87.7"/>
    <n v="1.22"/>
    <n v="0"/>
    <n v="3.7"/>
    <n v="666152.52"/>
    <n v="107490.58"/>
  </r>
  <r>
    <s v="STR-1005"/>
    <d v="2025-02-01T00:00:00"/>
    <s v="South"/>
    <x v="0"/>
    <n v="59117.9"/>
    <n v="4263"/>
    <n v="0.11899999999999999"/>
    <n v="9"/>
    <n v="87.6"/>
    <n v="4.01"/>
    <n v="0"/>
    <n v="3.6"/>
    <n v="573155.18999999994"/>
    <n v="83680.75"/>
  </r>
  <r>
    <s v="STR-1005"/>
    <d v="2025-03-01T00:00:00"/>
    <s v="South"/>
    <x v="0"/>
    <n v="78831.12"/>
    <n v="5538"/>
    <n v="0"/>
    <n v="15"/>
    <n v="94.1"/>
    <n v="0.2"/>
    <n v="0"/>
    <n v="3.9"/>
    <n v="666573.19999999995"/>
    <n v="140641.01999999999"/>
  </r>
  <r>
    <s v="STR-1005"/>
    <d v="2025-04-01T00:00:00"/>
    <s v="South"/>
    <x v="0"/>
    <n v="41441.93"/>
    <n v="4865"/>
    <n v="0.158"/>
    <n v="16"/>
    <n v="88.3"/>
    <n v="0.5"/>
    <n v="0"/>
    <n v="4"/>
    <n v="591619.94999999995"/>
    <n v="99521.35"/>
  </r>
  <r>
    <s v="STR-1006"/>
    <d v="2025-01-01T00:00:00"/>
    <s v="North"/>
    <x v="0"/>
    <n v="30356.28"/>
    <n v="2822"/>
    <n v="0.23100000000000001"/>
    <n v="9"/>
    <n v="84.8"/>
    <n v="6.95"/>
    <n v="0"/>
    <n v="5"/>
    <n v="415721.82"/>
    <n v="61179.15"/>
  </r>
  <r>
    <s v="STR-1006"/>
    <d v="2025-02-01T00:00:00"/>
    <s v="North"/>
    <x v="0"/>
    <n v="33518.879999999997"/>
    <n v="2121"/>
    <n v="0.17599999999999999"/>
    <n v="8"/>
    <n v="88.5"/>
    <n v="0.2"/>
    <n v="0"/>
    <n v="5"/>
    <n v="491905.13"/>
    <n v="79212.259999999995"/>
  </r>
  <r>
    <s v="STR-1006"/>
    <d v="2025-03-01T00:00:00"/>
    <s v="North"/>
    <x v="0"/>
    <n v="42267.37"/>
    <n v="3364"/>
    <n v="0.16"/>
    <n v="13"/>
    <n v="82"/>
    <n v="1.61"/>
    <n v="1"/>
    <n v="4.5999999999999996"/>
    <n v="555929.4"/>
    <n v="115201.76"/>
  </r>
  <r>
    <s v="STR-1006"/>
    <d v="2025-04-01T00:00:00"/>
    <s v="North"/>
    <x v="0"/>
    <n v="62060.43"/>
    <n v="2613"/>
    <n v="0.216"/>
    <n v="12"/>
    <n v="92.1"/>
    <n v="1.55"/>
    <n v="0"/>
    <n v="4.7"/>
    <n v="565810.99"/>
    <n v="77825.460000000006"/>
  </r>
  <r>
    <s v="STR-1007"/>
    <d v="2025-01-01T00:00:00"/>
    <s v="West"/>
    <x v="3"/>
    <n v="57696.69"/>
    <n v="10218"/>
    <n v="0.121"/>
    <n v="25"/>
    <n v="94.8"/>
    <n v="2.99"/>
    <n v="0"/>
    <n v="3.5"/>
    <n v="811771.14"/>
    <n v="148756.24"/>
  </r>
  <r>
    <s v="STR-1007"/>
    <d v="2025-02-01T00:00:00"/>
    <s v="West"/>
    <x v="3"/>
    <n v="172415.52"/>
    <n v="8927"/>
    <n v="0.14000000000000001"/>
    <n v="22"/>
    <n v="86.2"/>
    <n v="7.04"/>
    <n v="0"/>
    <n v="3.9"/>
    <n v="800451.94"/>
    <n v="111572.29"/>
  </r>
  <r>
    <s v="STR-1007"/>
    <d v="2025-03-01T00:00:00"/>
    <s v="West"/>
    <x v="3"/>
    <n v="55270.52"/>
    <n v="9315"/>
    <n v="0.16900000000000001"/>
    <n v="23"/>
    <n v="91.9"/>
    <n v="4.9400000000000004"/>
    <n v="0"/>
    <n v="4"/>
    <n v="783672.82"/>
    <n v="112577.14"/>
  </r>
  <r>
    <s v="STR-1007"/>
    <d v="2025-04-01T00:00:00"/>
    <s v="West"/>
    <x v="3"/>
    <n v="52715.1"/>
    <n v="7223"/>
    <n v="0.122"/>
    <n v="16"/>
    <n v="84.2"/>
    <n v="16.149999999999999"/>
    <n v="0"/>
    <n v="3.7"/>
    <n v="701641.97"/>
    <n v="106111.86"/>
  </r>
  <r>
    <s v="STR-1008"/>
    <d v="2025-01-01T00:00:00"/>
    <s v="East"/>
    <x v="0"/>
    <n v="68600.62"/>
    <n v="3988"/>
    <n v="0.124"/>
    <n v="11"/>
    <n v="85"/>
    <n v="0.48"/>
    <n v="0"/>
    <n v="3.6"/>
    <n v="511844.41"/>
    <n v="72774.44"/>
  </r>
  <r>
    <s v="STR-1008"/>
    <d v="2025-02-01T00:00:00"/>
    <s v="East"/>
    <x v="0"/>
    <n v="63176.73"/>
    <n v="2390"/>
    <n v="0.216"/>
    <n v="9"/>
    <n v="87.5"/>
    <n v="0.31"/>
    <n v="0"/>
    <n v="3.1"/>
    <n v="537383.79"/>
    <n v="63773.27"/>
  </r>
  <r>
    <s v="STR-1008"/>
    <d v="2025-03-01T00:00:00"/>
    <s v="East"/>
    <x v="0"/>
    <n v="44970.080000000002"/>
    <n v="2471"/>
    <n v="0.13600000000000001"/>
    <n v="11"/>
    <n v="87.6"/>
    <n v="3.01"/>
    <n v="1"/>
    <n v="3.7"/>
    <n v="500173.02"/>
    <n v="70982.05"/>
  </r>
  <r>
    <s v="STR-1008"/>
    <d v="2025-04-01T00:00:00"/>
    <s v="East"/>
    <x v="0"/>
    <n v="69816.350000000006"/>
    <n v="971"/>
    <n v="0.16800000000000001"/>
    <n v="5"/>
    <n v="89.9"/>
    <n v="12.15"/>
    <n v="0"/>
    <n v="3.6"/>
    <n v="427917.38"/>
    <n v="81824.31"/>
  </r>
  <r>
    <s v="STR-1009"/>
    <d v="2025-01-01T00:00:00"/>
    <s v="North"/>
    <x v="0"/>
    <n v="54597.83"/>
    <n v="9429"/>
    <n v="0.188"/>
    <n v="21"/>
    <n v="83.3"/>
    <n v="11.71"/>
    <n v="0"/>
    <n v="4.2"/>
    <n v="641865.03"/>
    <n v="81342.58"/>
  </r>
  <r>
    <s v="STR-1009"/>
    <d v="2025-02-01T00:00:00"/>
    <s v="North"/>
    <x v="0"/>
    <n v="73771.91"/>
    <n v="11695"/>
    <n v="7.0000000000000007E-2"/>
    <n v="25"/>
    <n v="84.7"/>
    <n v="0.62"/>
    <n v="0"/>
    <m/>
    <n v="799477.76000000001"/>
    <n v="164974.41"/>
  </r>
  <r>
    <s v="STR-1009"/>
    <d v="2025-03-01T00:00:00"/>
    <s v="North"/>
    <x v="0"/>
    <n v="74413.88"/>
    <n v="9449"/>
    <n v="3.9E-2"/>
    <n v="23"/>
    <n v="92.1"/>
    <n v="2.12"/>
    <n v="0"/>
    <n v="3.5"/>
    <n v="798952.17"/>
    <n v="161499.04"/>
  </r>
  <r>
    <s v="STR-1009"/>
    <d v="2025-04-01T00:00:00"/>
    <s v="North"/>
    <x v="0"/>
    <n v="52483.77"/>
    <n v="10453"/>
    <n v="0.247"/>
    <n v="25"/>
    <n v="99"/>
    <n v="6.31"/>
    <n v="0"/>
    <n v="3.6"/>
    <n v="800979.78"/>
    <n v="149242.26999999999"/>
  </r>
  <r>
    <s v="STR-1010"/>
    <d v="2025-01-01T00:00:00"/>
    <s v="North"/>
    <x v="3"/>
    <n v="75269.87"/>
    <n v="8838"/>
    <n v="9.1999999999999998E-2"/>
    <n v="21"/>
    <n v="83.1"/>
    <n v="9.56"/>
    <n v="1"/>
    <n v="4.2"/>
    <n v="820593.93"/>
    <n v="115860.06"/>
  </r>
  <r>
    <s v="STR-1010"/>
    <d v="2025-02-01T00:00:00"/>
    <s v="North"/>
    <x v="3"/>
    <n v="61245.41"/>
    <n v="8156"/>
    <n v="0.156"/>
    <n v="19"/>
    <n v="92.9"/>
    <n v="9.0500000000000007"/>
    <n v="0"/>
    <n v="3.8"/>
    <n v="718330.53"/>
    <n v="93247.9"/>
  </r>
  <r>
    <s v="STR-1010"/>
    <d v="2025-03-01T00:00:00"/>
    <s v="North"/>
    <x v="3"/>
    <n v="93381.26"/>
    <n v="7562"/>
    <n v="0.19800000000000001"/>
    <n v="19"/>
    <n v="82.9"/>
    <n v="5.05"/>
    <n v="0"/>
    <n v="4"/>
    <n v="736633.4"/>
    <n v="115654.66"/>
  </r>
  <r>
    <s v="STR-1010"/>
    <d v="2025-04-01T00:00:00"/>
    <s v="North"/>
    <x v="3"/>
    <n v="65012.19"/>
    <n v="9598"/>
    <n v="8.5000000000000006E-2"/>
    <n v="24"/>
    <n v="98.3"/>
    <n v="0.89"/>
    <n v="0"/>
    <n v="3.8"/>
    <n v="828623.85"/>
    <n v="167320.51999999999"/>
  </r>
  <r>
    <s v="STR-1011"/>
    <d v="2025-01-01T00:00:00"/>
    <s v="East"/>
    <x v="3"/>
    <n v="40462.94"/>
    <n v="3660"/>
    <n v="0.218"/>
    <n v="11"/>
    <n v="95.2"/>
    <n v="5.57"/>
    <n v="0"/>
    <n v="4.4000000000000004"/>
    <n v="592195.85"/>
    <n v="92291.56"/>
  </r>
  <r>
    <s v="STR-1011"/>
    <d v="2025-02-01T00:00:00"/>
    <s v="East"/>
    <x v="3"/>
    <n v="46123.88"/>
    <n v="3227"/>
    <n v="0.14299999999999999"/>
    <n v="10"/>
    <n v="75.400000000000006"/>
    <n v="1.06"/>
    <n v="0"/>
    <n v="4.4000000000000004"/>
    <n v="532644.46"/>
    <n v="60681.32"/>
  </r>
  <r>
    <s v="STR-1011"/>
    <d v="2025-03-01T00:00:00"/>
    <s v="East"/>
    <x v="3"/>
    <n v="68077.539999999994"/>
    <n v="3360"/>
    <n v="0.128"/>
    <n v="14"/>
    <n v="88.2"/>
    <n v="1.24"/>
    <n v="1"/>
    <n v="4"/>
    <n v="657429.18000000005"/>
    <n v="88919.74"/>
  </r>
  <r>
    <s v="STR-1011"/>
    <d v="2025-04-01T00:00:00"/>
    <s v="East"/>
    <x v="3"/>
    <n v="64882.14"/>
    <n v="3642"/>
    <n v="1.9E-2"/>
    <n v="13"/>
    <n v="87.8"/>
    <n v="4.5199999999999996"/>
    <n v="0"/>
    <n v="4.2"/>
    <n v="605178"/>
    <n v="106958.74"/>
  </r>
  <r>
    <s v="STR-1012"/>
    <d v="2025-01-01T00:00:00"/>
    <s v="West"/>
    <x v="0"/>
    <n v="138855.51"/>
    <n v="5145"/>
    <n v="0.06"/>
    <n v="17"/>
    <n v="88.2"/>
    <n v="9.58"/>
    <n v="0"/>
    <n v="3.2"/>
    <n v="595467.6"/>
    <n v="104276.46"/>
  </r>
  <r>
    <s v="STR-1012"/>
    <d v="2025-02-01T00:00:00"/>
    <s v="West"/>
    <x v="0"/>
    <n v="63630.21"/>
    <n v="4460"/>
    <n v="0.23499999999999999"/>
    <n v="14"/>
    <n v="98.6"/>
    <n v="5.52"/>
    <n v="0"/>
    <n v="3.5"/>
    <n v="599603.4"/>
    <n v="112685.12"/>
  </r>
  <r>
    <s v="STR-1012"/>
    <d v="2025-03-01T00:00:00"/>
    <s v="West"/>
    <x v="0"/>
    <n v="50043.65"/>
    <n v="3804"/>
    <n v="0.113"/>
    <n v="11"/>
    <n v="90.9"/>
    <n v="2.7"/>
    <n v="1"/>
    <n v="3.2"/>
    <n v="614800.09"/>
    <n v="100044.2"/>
  </r>
  <r>
    <s v="STR-1012"/>
    <d v="2025-04-01T00:00:00"/>
    <s v="West"/>
    <x v="0"/>
    <n v="42093.84"/>
    <n v="4074"/>
    <n v="0.155"/>
    <n v="15"/>
    <n v="88"/>
    <n v="9.64"/>
    <n v="0"/>
    <n v="3.3"/>
    <n v="585365.73"/>
    <n v="81011.520000000004"/>
  </r>
  <r>
    <s v="STR-1013"/>
    <d v="2025-01-01T00:00:00"/>
    <s v="North"/>
    <x v="3"/>
    <n v="46624.05"/>
    <n v="5104"/>
    <n v="0.109"/>
    <n v="11"/>
    <n v="97.3"/>
    <n v="3.49"/>
    <n v="1"/>
    <n v="4.7"/>
    <n v="622811.74"/>
    <n v="109978.35"/>
  </r>
  <r>
    <s v="STR-1013"/>
    <d v="2025-02-01T00:00:00"/>
    <s v="North"/>
    <x v="3"/>
    <n v="49710.29"/>
    <n v="5559"/>
    <n v="0.218"/>
    <n v="14"/>
    <n v="71"/>
    <n v="9.11"/>
    <n v="0"/>
    <n v="4.5999999999999996"/>
    <n v="603297.56999999995"/>
    <n v="60592.26"/>
  </r>
  <r>
    <s v="STR-1013"/>
    <d v="2025-03-01T00:00:00"/>
    <s v="North"/>
    <x v="3"/>
    <n v="48287.85"/>
    <n v="5150"/>
    <n v="8.0000000000000002E-3"/>
    <n v="12"/>
    <n v="80.400000000000006"/>
    <n v="7.4"/>
    <n v="0"/>
    <n v="4.5"/>
    <n v="625672.86"/>
    <n v="118020.12"/>
  </r>
  <r>
    <s v="STR-1013"/>
    <d v="2025-04-01T00:00:00"/>
    <s v="North"/>
    <x v="3"/>
    <n v="65312.49"/>
    <n v="7189"/>
    <n v="0.05"/>
    <n v="19"/>
    <n v="93.7"/>
    <n v="7.16"/>
    <n v="0"/>
    <n v="4.5999999999999996"/>
    <n v="773815.14"/>
    <n v="133948.39000000001"/>
  </r>
  <r>
    <s v="STR-1014"/>
    <d v="2025-01-01T00:00:00"/>
    <s v="West"/>
    <x v="1"/>
    <n v="53015.46"/>
    <n v="3279"/>
    <n v="8.6999999999999994E-2"/>
    <n v="9"/>
    <n v="84.3"/>
    <n v="22.02"/>
    <n v="0"/>
    <n v="3.9"/>
    <n v="463534.25"/>
    <n v="81834.539999999994"/>
  </r>
  <r>
    <s v="STR-1014"/>
    <d v="2025-02-01T00:00:00"/>
    <s v="West"/>
    <x v="1"/>
    <n v="99874.01"/>
    <n v="5887"/>
    <n v="0.26200000000000001"/>
    <n v="14"/>
    <n v="88.7"/>
    <n v="6.18"/>
    <n v="0"/>
    <n v="4.7"/>
    <n v="746677.75"/>
    <n v="122437.84"/>
  </r>
  <r>
    <s v="STR-1014"/>
    <d v="2025-03-01T00:00:00"/>
    <s v="West"/>
    <x v="1"/>
    <n v="81195.5"/>
    <n v="5516"/>
    <n v="0.106"/>
    <n v="14"/>
    <n v="88"/>
    <n v="1.76"/>
    <n v="0"/>
    <n v="4.3"/>
    <n v="720852.5"/>
    <n v="98565.62"/>
  </r>
  <r>
    <s v="STR-1014"/>
    <d v="2025-04-01T00:00:00"/>
    <s v="West"/>
    <x v="1"/>
    <n v="27808.6"/>
    <n v="2863"/>
    <n v="0.08"/>
    <n v="13"/>
    <n v="89.3"/>
    <n v="0.47"/>
    <n v="0"/>
    <n v="4.0999999999999996"/>
    <n v="487464.91"/>
    <n v="64562.26"/>
  </r>
  <r>
    <s v="STR-1015"/>
    <d v="2025-01-01T00:00:00"/>
    <s v="East"/>
    <x v="2"/>
    <n v="19365.060000000001"/>
    <n v="2378"/>
    <n v="0"/>
    <n v="12"/>
    <n v="94.8"/>
    <n v="0.2"/>
    <n v="0"/>
    <n v="3.5"/>
    <n v="518049.26"/>
    <n v="108592.49"/>
  </r>
  <r>
    <s v="STR-1015"/>
    <d v="2025-02-01T00:00:00"/>
    <s v="East"/>
    <x v="2"/>
    <n v="59405.68"/>
    <n v="2515"/>
    <n v="3.9E-2"/>
    <n v="12"/>
    <n v="76"/>
    <n v="5.1100000000000003"/>
    <n v="0"/>
    <n v="3.7"/>
    <n v="500298.48"/>
    <n v="73461.320000000007"/>
  </r>
  <r>
    <s v="STR-1015"/>
    <d v="2025-03-01T00:00:00"/>
    <s v="East"/>
    <x v="2"/>
    <n v="118910.48"/>
    <n v="4022"/>
    <n v="0.13700000000000001"/>
    <n v="11"/>
    <n v="87.1"/>
    <n v="0.2"/>
    <n v="0"/>
    <n v="3.1"/>
    <n v="617291.15"/>
    <n v="117782"/>
  </r>
  <r>
    <s v="STR-1015"/>
    <d v="2025-04-01T00:00:00"/>
    <s v="East"/>
    <x v="2"/>
    <n v="52952.12"/>
    <n v="4377"/>
    <n v="9.1999999999999998E-2"/>
    <n v="14"/>
    <n v="88.6"/>
    <n v="13.59"/>
    <n v="0"/>
    <n v="3.1"/>
    <n v="553756.43000000005"/>
    <n v="86166.77"/>
  </r>
  <r>
    <s v="STR-1016"/>
    <d v="2025-01-01T00:00:00"/>
    <s v="South"/>
    <x v="1"/>
    <n v="74907.98"/>
    <n v="5306"/>
    <n v="6.2E-2"/>
    <n v="16"/>
    <n v="95.6"/>
    <n v="1.02"/>
    <n v="0"/>
    <n v="3.7"/>
    <n v="749559.71"/>
    <n v="144522.53"/>
  </r>
  <r>
    <s v="STR-1016"/>
    <d v="2025-02-01T00:00:00"/>
    <s v="South"/>
    <x v="1"/>
    <n v="37284.660000000003"/>
    <n v="3928"/>
    <n v="7.3999999999999996E-2"/>
    <n v="12"/>
    <n v="86.5"/>
    <n v="1.64"/>
    <n v="0"/>
    <n v="3.8"/>
    <n v="615966.48"/>
    <n v="91509.38"/>
  </r>
  <r>
    <s v="STR-1016"/>
    <d v="2025-03-01T00:00:00"/>
    <s v="South"/>
    <x v="1"/>
    <n v="50343.19"/>
    <n v="3845"/>
    <n v="0.113"/>
    <n v="9"/>
    <n v="88.7"/>
    <n v="5.15"/>
    <n v="0"/>
    <n v="3.3"/>
    <n v="572011.19999999995"/>
    <n v="101409.68"/>
  </r>
  <r>
    <s v="STR-1016"/>
    <d v="2025-04-01T00:00:00"/>
    <s v="South"/>
    <x v="1"/>
    <n v="74954.47"/>
    <n v="6620"/>
    <n v="5.3999999999999999E-2"/>
    <n v="17"/>
    <n v="91.1"/>
    <n v="1.1100000000000001"/>
    <n v="0"/>
    <n v="3.5"/>
    <n v="761860.19"/>
    <n v="133279.38"/>
  </r>
  <r>
    <s v="STR-1017"/>
    <d v="2025-01-01T00:00:00"/>
    <s v="West"/>
    <x v="1"/>
    <n v="70040.31"/>
    <n v="9175"/>
    <n v="0.107"/>
    <n v="23"/>
    <n v="95.1"/>
    <n v="6.08"/>
    <n v="1"/>
    <n v="3.4"/>
    <n v="784502.68"/>
    <n v="129519.72"/>
  </r>
  <r>
    <s v="STR-1017"/>
    <d v="2025-02-01T00:00:00"/>
    <s v="West"/>
    <x v="1"/>
    <n v="51148.69"/>
    <n v="7940"/>
    <n v="0.156"/>
    <n v="18"/>
    <n v="93.3"/>
    <n v="10.91"/>
    <n v="0"/>
    <n v="3.6"/>
    <n v="717141.55"/>
    <n v="134013.60999999999"/>
  </r>
  <r>
    <s v="STR-1017"/>
    <d v="2025-03-01T00:00:00"/>
    <s v="West"/>
    <x v="1"/>
    <n v="79346.100000000006"/>
    <n v="9628"/>
    <n v="0.10199999999999999"/>
    <n v="20"/>
    <n v="99"/>
    <n v="19.010000000000002"/>
    <n v="1"/>
    <n v="3.2"/>
    <n v="685379.08"/>
    <n v="106898.82"/>
  </r>
  <r>
    <s v="STR-1017"/>
    <d v="2025-04-01T00:00:00"/>
    <s v="West"/>
    <x v="1"/>
    <n v="42018.400000000001"/>
    <n v="8296"/>
    <n v="0.115"/>
    <n v="17"/>
    <n v="91.8"/>
    <n v="0.77"/>
    <n v="0"/>
    <n v="3.4"/>
    <n v="740496.65"/>
    <n v="128020.9"/>
  </r>
  <r>
    <s v="STR-1018"/>
    <d v="2025-01-01T00:00:00"/>
    <s v="East"/>
    <x v="1"/>
    <n v="70937.240000000005"/>
    <n v="3595"/>
    <n v="0.14099999999999999"/>
    <n v="11"/>
    <n v="88.9"/>
    <n v="2.83"/>
    <n v="1"/>
    <n v="3.3"/>
    <n v="661927.14"/>
    <n v="79218.570000000007"/>
  </r>
  <r>
    <s v="STR-1018"/>
    <d v="2025-02-01T00:00:00"/>
    <s v="East"/>
    <x v="1"/>
    <n v="36813.449999999997"/>
    <n v="2834"/>
    <n v="0.191"/>
    <n v="11"/>
    <n v="81.8"/>
    <n v="2.33"/>
    <n v="0"/>
    <n v="3.3"/>
    <n v="479050.5"/>
    <n v="53651.11"/>
  </r>
  <r>
    <s v="STR-1018"/>
    <d v="2025-03-01T00:00:00"/>
    <s v="East"/>
    <x v="1"/>
    <n v="60571.82"/>
    <n v="3193"/>
    <n v="0.19700000000000001"/>
    <n v="7"/>
    <n v="99"/>
    <n v="1.43"/>
    <n v="0"/>
    <n v="3.2"/>
    <n v="605023.87"/>
    <n v="98545.81"/>
  </r>
  <r>
    <s v="STR-1018"/>
    <d v="2025-04-01T00:00:00"/>
    <s v="East"/>
    <x v="1"/>
    <n v="55081.16"/>
    <n v="5485"/>
    <n v="3.5999999999999997E-2"/>
    <n v="12"/>
    <n v="88"/>
    <m/>
    <n v="0"/>
    <n v="3.5"/>
    <n v="674774.09"/>
    <n v="141917.59"/>
  </r>
  <r>
    <s v="STR-1019"/>
    <d v="2025-01-01T00:00:00"/>
    <s v="East"/>
    <x v="0"/>
    <n v="46201.46"/>
    <n v="5918"/>
    <n v="0.27700000000000002"/>
    <n v="13"/>
    <n v="78.8"/>
    <n v="4.91"/>
    <n v="0"/>
    <n v="4.5"/>
    <n v="616069.41"/>
    <n v="54453.99"/>
  </r>
  <r>
    <s v="STR-1019"/>
    <d v="2025-02-01T00:00:00"/>
    <s v="East"/>
    <x v="0"/>
    <n v="53762.92"/>
    <n v="6821"/>
    <n v="6.6000000000000003E-2"/>
    <n v="19"/>
    <n v="94.6"/>
    <n v="7.03"/>
    <n v="0"/>
    <n v="4.4000000000000004"/>
    <n v="630829.93999999994"/>
    <n v="117090.02"/>
  </r>
  <r>
    <s v="STR-1019"/>
    <d v="2025-03-01T00:00:00"/>
    <s v="East"/>
    <x v="0"/>
    <n v="70144.78"/>
    <n v="6806"/>
    <n v="0.17799999999999999"/>
    <n v="20"/>
    <n v="93.1"/>
    <n v="0.28000000000000003"/>
    <n v="1"/>
    <n v="4.3"/>
    <n v="788087.68"/>
    <n v="116803.42"/>
  </r>
  <r>
    <s v="STR-1019"/>
    <d v="2025-04-01T00:00:00"/>
    <s v="East"/>
    <x v="0"/>
    <n v="58749.63"/>
    <n v="8252"/>
    <n v="0.20300000000000001"/>
    <n v="20"/>
    <n v="85.2"/>
    <n v="3.61"/>
    <n v="0"/>
    <n v="4.5"/>
    <n v="680840.36"/>
    <n v="68007.679999999993"/>
  </r>
  <r>
    <s v="STR-1020"/>
    <d v="2025-01-01T00:00:00"/>
    <s v="South"/>
    <x v="1"/>
    <n v="56973.18"/>
    <n v="6662"/>
    <n v="0.1"/>
    <n v="15"/>
    <n v="77.7"/>
    <n v="7.52"/>
    <n v="1"/>
    <n v="3.2"/>
    <n v="643657.47"/>
    <n v="87022.45"/>
  </r>
  <r>
    <s v="STR-1020"/>
    <d v="2025-02-01T00:00:00"/>
    <s v="South"/>
    <x v="1"/>
    <n v="54872.82"/>
    <n v="5962"/>
    <n v="6.4000000000000001E-2"/>
    <n v="12"/>
    <n v="85.4"/>
    <n v="2.58"/>
    <n v="0"/>
    <n v="2.9"/>
    <n v="691112.6"/>
    <n v="109212.83"/>
  </r>
  <r>
    <s v="STR-1020"/>
    <d v="2025-03-01T00:00:00"/>
    <s v="South"/>
    <x v="1"/>
    <n v="80562.81"/>
    <n v="7470"/>
    <n v="0.17199999999999999"/>
    <n v="16"/>
    <n v="83.5"/>
    <n v="2.29"/>
    <n v="0"/>
    <n v="3.3"/>
    <n v="776922.17"/>
    <n v="150701.93"/>
  </r>
  <r>
    <s v="STR-1020"/>
    <d v="2025-04-01T00:00:00"/>
    <s v="South"/>
    <x v="1"/>
    <n v="77999.899999999994"/>
    <n v="5974"/>
    <n v="0.252"/>
    <n v="14"/>
    <n v="81.3"/>
    <n v="2.39"/>
    <n v="0"/>
    <n v="3.2"/>
    <n v="636561.34"/>
    <n v="93861.06"/>
  </r>
  <r>
    <s v="STR-1021"/>
    <d v="2025-01-01T00:00:00"/>
    <s v="West"/>
    <x v="3"/>
    <n v="60881.01"/>
    <n v="5410"/>
    <n v="0.17899999999999999"/>
    <n v="15"/>
    <n v="83.9"/>
    <n v="5.24"/>
    <n v="0"/>
    <n v="4.5999999999999996"/>
    <n v="621369.57999999996"/>
    <n v="85493.64"/>
  </r>
  <r>
    <s v="STR-1021"/>
    <d v="2025-02-01T00:00:00"/>
    <s v="West"/>
    <x v="3"/>
    <n v="60628.38"/>
    <n v="4451"/>
    <n v="9.5000000000000001E-2"/>
    <n v="10"/>
    <n v="89.6"/>
    <n v="3.17"/>
    <n v="0"/>
    <n v="4.5999999999999996"/>
    <n v="682208.01"/>
    <n v="110318.84"/>
  </r>
  <r>
    <s v="STR-1021"/>
    <d v="2025-03-01T00:00:00"/>
    <s v="West"/>
    <x v="3"/>
    <n v="72731.14"/>
    <n v="4644"/>
    <n v="8.4000000000000005E-2"/>
    <n v="15"/>
    <n v="87.1"/>
    <n v="2.66"/>
    <n v="0"/>
    <n v="4.5999999999999996"/>
    <n v="727241.86"/>
    <n v="155810.29999999999"/>
  </r>
  <r>
    <s v="STR-1021"/>
    <d v="2025-04-01T00:00:00"/>
    <s v="West"/>
    <x v="3"/>
    <n v="36475.71"/>
    <n v="3559"/>
    <n v="0.03"/>
    <n v="8"/>
    <n v="83.6"/>
    <n v="1.41"/>
    <n v="0"/>
    <n v="4.2"/>
    <n v="569100.78"/>
    <n v="104808.78"/>
  </r>
  <r>
    <s v="STR-1022"/>
    <d v="2025-01-01T00:00:00"/>
    <s v="West"/>
    <x v="1"/>
    <n v="55388.11"/>
    <n v="3091"/>
    <n v="0.108"/>
    <n v="7"/>
    <n v="85.4"/>
    <n v="7.34"/>
    <n v="0"/>
    <n v="4.9000000000000004"/>
    <n v="574436.29"/>
    <n v="80271.990000000005"/>
  </r>
  <r>
    <s v="STR-1022"/>
    <d v="2025-02-01T00:00:00"/>
    <s v="West"/>
    <x v="1"/>
    <n v="88443.77"/>
    <n v="4004"/>
    <n v="0.20599999999999999"/>
    <n v="11"/>
    <n v="91.9"/>
    <n v="5.95"/>
    <n v="0"/>
    <m/>
    <n v="611766.72"/>
    <n v="88275.61"/>
  </r>
  <r>
    <s v="STR-1022"/>
    <d v="2025-03-01T00:00:00"/>
    <s v="West"/>
    <x v="1"/>
    <n v="78231.91"/>
    <n v="3788"/>
    <n v="5.8999999999999997E-2"/>
    <n v="11"/>
    <n v="88.5"/>
    <n v="15.51"/>
    <n v="0"/>
    <n v="4.3"/>
    <n v="614596.31999999995"/>
    <n v="131199.41"/>
  </r>
  <r>
    <s v="STR-1022"/>
    <d v="2025-04-01T00:00:00"/>
    <s v="West"/>
    <x v="1"/>
    <n v="18996.32"/>
    <n v="1260"/>
    <n v="0.14499999999999999"/>
    <n v="9"/>
    <n v="86.4"/>
    <n v="4.3099999999999996"/>
    <n v="0"/>
    <n v="4.5999999999999996"/>
    <n v="450711.92"/>
    <n v="90043.76"/>
  </r>
  <r>
    <s v="STR-1023"/>
    <d v="2025-01-01T00:00:00"/>
    <s v="South"/>
    <x v="3"/>
    <n v="50517.94"/>
    <n v="7024"/>
    <n v="2.9000000000000001E-2"/>
    <n v="18"/>
    <n v="79.2"/>
    <n v="6.61"/>
    <n v="1"/>
    <n v="4.0999999999999996"/>
    <n v="711213.46"/>
    <n v="105863.26"/>
  </r>
  <r>
    <s v="STR-1023"/>
    <d v="2025-02-01T00:00:00"/>
    <s v="South"/>
    <x v="3"/>
    <n v="141540.29"/>
    <n v="5400"/>
    <n v="1.2999999999999999E-2"/>
    <n v="12"/>
    <n v="87"/>
    <n v="4.26"/>
    <n v="0"/>
    <n v="4.5"/>
    <n v="627171.9"/>
    <n v="105772.75"/>
  </r>
  <r>
    <s v="STR-1023"/>
    <d v="2025-03-01T00:00:00"/>
    <s v="South"/>
    <x v="3"/>
    <n v="82116.19"/>
    <n v="5988"/>
    <n v="0.04"/>
    <n v="17"/>
    <n v="91.8"/>
    <n v="5.75"/>
    <n v="0"/>
    <n v="4.7"/>
    <n v="739852.58"/>
    <n v="129386.43"/>
  </r>
  <r>
    <s v="STR-1023"/>
    <d v="2025-04-01T00:00:00"/>
    <s v="South"/>
    <x v="3"/>
    <n v="31207.51"/>
    <n v="3701"/>
    <n v="4.2999999999999997E-2"/>
    <n v="11"/>
    <n v="84.7"/>
    <n v="0.33"/>
    <n v="0"/>
    <n v="4.3"/>
    <n v="586307.22"/>
    <n v="73927.850000000006"/>
  </r>
  <r>
    <s v="STR-1024"/>
    <d v="2025-01-01T00:00:00"/>
    <s v="West"/>
    <x v="0"/>
    <n v="38966.589999999997"/>
    <n v="4509"/>
    <n v="0.19400000000000001"/>
    <n v="14"/>
    <n v="91.1"/>
    <n v="2.92"/>
    <n v="0"/>
    <n v="4.5999999999999996"/>
    <n v="585937.48"/>
    <n v="82624.2"/>
  </r>
  <r>
    <s v="STR-1024"/>
    <d v="2025-02-01T00:00:00"/>
    <s v="West"/>
    <x v="0"/>
    <n v="67439.3"/>
    <n v="6477"/>
    <n v="0"/>
    <n v="16"/>
    <n v="90.9"/>
    <n v="1.64"/>
    <n v="0"/>
    <n v="4.5"/>
    <n v="753473.55"/>
    <n v="151527.22"/>
  </r>
  <r>
    <s v="STR-1024"/>
    <d v="2025-03-01T00:00:00"/>
    <s v="West"/>
    <x v="0"/>
    <n v="86421.88"/>
    <n v="7970"/>
    <n v="7.2999999999999995E-2"/>
    <n v="17"/>
    <n v="91.3"/>
    <n v="0.8"/>
    <n v="0"/>
    <n v="5"/>
    <n v="838250.32"/>
    <n v="122939.34"/>
  </r>
  <r>
    <s v="STR-1024"/>
    <d v="2025-04-01T00:00:00"/>
    <s v="West"/>
    <x v="0"/>
    <n v="9534.65"/>
    <n v="6057"/>
    <n v="7.3999999999999996E-2"/>
    <n v="15"/>
    <n v="94.1"/>
    <n v="5.79"/>
    <n v="0"/>
    <n v="4.5"/>
    <n v="607898.12"/>
    <n v="135404.85"/>
  </r>
  <r>
    <s v="STR-1025"/>
    <d v="2025-01-01T00:00:00"/>
    <s v="West"/>
    <x v="3"/>
    <n v="61132.07"/>
    <n v="6394"/>
    <n v="0.16300000000000001"/>
    <n v="19"/>
    <n v="91"/>
    <n v="19.600000000000001"/>
    <n v="0"/>
    <n v="4.4000000000000004"/>
    <n v="691113.62"/>
    <n v="135145.44"/>
  </r>
  <r>
    <s v="STR-1025"/>
    <d v="2025-02-01T00:00:00"/>
    <s v="West"/>
    <x v="3"/>
    <n v="78839.39"/>
    <n v="5150"/>
    <n v="0.17100000000000001"/>
    <n v="13"/>
    <n v="85.8"/>
    <n v="7.57"/>
    <n v="0"/>
    <n v="4.3"/>
    <n v="735509.4"/>
    <n v="83895.96"/>
  </r>
  <r>
    <s v="STR-1025"/>
    <d v="2025-03-01T00:00:00"/>
    <s v="West"/>
    <x v="3"/>
    <n v="38752.800000000003"/>
    <n v="4712"/>
    <n v="7.4999999999999997E-2"/>
    <n v="15"/>
    <n v="89.7"/>
    <m/>
    <n v="0"/>
    <n v="4.3"/>
    <n v="605775.32999999996"/>
    <n v="107194.6"/>
  </r>
  <r>
    <s v="STR-1025"/>
    <d v="2025-04-01T00:00:00"/>
    <s v="West"/>
    <x v="3"/>
    <n v="55101.1"/>
    <n v="5281"/>
    <n v="0.189"/>
    <n v="11"/>
    <n v="91"/>
    <n v="2.7"/>
    <n v="0"/>
    <n v="4.4000000000000004"/>
    <n v="675177.68"/>
    <n v="105628.68"/>
  </r>
  <r>
    <s v="STR-1026"/>
    <d v="2025-01-01T00:00:00"/>
    <s v="East"/>
    <x v="3"/>
    <n v="53084.76"/>
    <n v="3642"/>
    <n v="0.15"/>
    <n v="12"/>
    <n v="91.4"/>
    <n v="0.2"/>
    <n v="0"/>
    <n v="4.4000000000000004"/>
    <n v="635181.35"/>
    <n v="83341.25"/>
  </r>
  <r>
    <s v="STR-1026"/>
    <d v="2025-02-01T00:00:00"/>
    <s v="East"/>
    <x v="3"/>
    <n v="63101.59"/>
    <n v="4373"/>
    <n v="0.17299999999999999"/>
    <n v="14"/>
    <n v="90.4"/>
    <n v="7.87"/>
    <n v="0"/>
    <n v="4.7"/>
    <n v="586626.93999999994"/>
    <n v="86498.55"/>
  </r>
  <r>
    <s v="STR-1026"/>
    <d v="2025-03-01T00:00:00"/>
    <s v="East"/>
    <x v="3"/>
    <n v="90084.4"/>
    <n v="6832"/>
    <n v="0.185"/>
    <n v="14"/>
    <n v="80.5"/>
    <n v="0.77"/>
    <n v="1"/>
    <n v="4.4000000000000004"/>
    <n v="740102.64"/>
    <n v="114299.07"/>
  </r>
  <r>
    <s v="STR-1026"/>
    <d v="2025-04-01T00:00:00"/>
    <s v="East"/>
    <x v="3"/>
    <n v="32266.639999999999"/>
    <n v="2414"/>
    <n v="0.08"/>
    <n v="7"/>
    <n v="92.1"/>
    <n v="1.48"/>
    <n v="0"/>
    <n v="5"/>
    <n v="625514.04"/>
    <n v="120685.08"/>
  </r>
  <r>
    <s v="STR-1027"/>
    <d v="2025-01-01T00:00:00"/>
    <s v="West"/>
    <x v="1"/>
    <n v="57919.07"/>
    <n v="7374"/>
    <n v="0.10299999999999999"/>
    <n v="21"/>
    <n v="82.3"/>
    <n v="2.87"/>
    <n v="0"/>
    <n v="2.9"/>
    <n v="727227.2"/>
    <n v="121292.01"/>
  </r>
  <r>
    <s v="STR-1027"/>
    <d v="2025-02-01T00:00:00"/>
    <s v="West"/>
    <x v="1"/>
    <n v="74679.350000000006"/>
    <n v="8739"/>
    <n v="5.6000000000000001E-2"/>
    <n v="21"/>
    <n v="91.8"/>
    <n v="2.83"/>
    <n v="0"/>
    <n v="3"/>
    <n v="783797.89"/>
    <n v="157620.70000000001"/>
  </r>
  <r>
    <s v="STR-1027"/>
    <d v="2025-03-01T00:00:00"/>
    <s v="West"/>
    <x v="1"/>
    <n v="64294.23"/>
    <n v="6992"/>
    <n v="0.13300000000000001"/>
    <n v="14"/>
    <n v="94.1"/>
    <n v="0.25"/>
    <n v="0"/>
    <n v="3"/>
    <n v="795153.84"/>
    <n v="143194.21"/>
  </r>
  <r>
    <s v="STR-1027"/>
    <d v="2025-04-01T00:00:00"/>
    <s v="West"/>
    <x v="1"/>
    <n v="31042.03"/>
    <n v="7107"/>
    <n v="5.0999999999999997E-2"/>
    <n v="15"/>
    <n v="87"/>
    <n v="13.33"/>
    <n v="0"/>
    <n v="3.2"/>
    <n v="665594.93999999994"/>
    <n v="127597.34"/>
  </r>
  <r>
    <s v="STR-1028"/>
    <d v="2025-01-01T00:00:00"/>
    <s v="East"/>
    <x v="3"/>
    <n v="75265.02"/>
    <n v="6975"/>
    <n v="0.157"/>
    <n v="20"/>
    <n v="73.8"/>
    <n v="6.35"/>
    <n v="1"/>
    <n v="3.8"/>
    <n v="709478.39"/>
    <n v="71294.27"/>
  </r>
  <r>
    <s v="STR-1028"/>
    <d v="2025-02-01T00:00:00"/>
    <s v="East"/>
    <x v="3"/>
    <n v="69411.7"/>
    <n v="5493"/>
    <n v="0.29199999999999998"/>
    <n v="13"/>
    <n v="86.5"/>
    <n v="6.69"/>
    <n v="0"/>
    <n v="3.8"/>
    <n v="664162.49"/>
    <n v="98291.06"/>
  </r>
  <r>
    <s v="STR-1028"/>
    <d v="2025-03-01T00:00:00"/>
    <s v="East"/>
    <x v="3"/>
    <n v="51056.15"/>
    <n v="5686"/>
    <n v="8.8999999999999996E-2"/>
    <n v="13"/>
    <n v="89.9"/>
    <n v="1.28"/>
    <n v="0"/>
    <n v="4.2"/>
    <n v="633494.21"/>
    <n v="105739.47"/>
  </r>
  <r>
    <s v="STR-1028"/>
    <d v="2025-04-01T00:00:00"/>
    <s v="East"/>
    <x v="3"/>
    <n v="52758.01"/>
    <n v="4063"/>
    <n v="5.7000000000000002E-2"/>
    <n v="12"/>
    <n v="91.7"/>
    <n v="0.92"/>
    <n v="0"/>
    <n v="3.5"/>
    <n v="713611.16"/>
    <n v="129717.18"/>
  </r>
  <r>
    <s v="STR-1029"/>
    <d v="2025-01-01T00:00:00"/>
    <s v="West"/>
    <x v="3"/>
    <n v="61426.04"/>
    <n v="8966"/>
    <n v="0.17299999999999999"/>
    <n v="22"/>
    <n v="76.400000000000006"/>
    <n v="1.05"/>
    <n v="0"/>
    <n v="3.1"/>
    <n v="778397.97"/>
    <n v="120044.41"/>
  </r>
  <r>
    <s v="STR-1029"/>
    <d v="2025-02-01T00:00:00"/>
    <s v="West"/>
    <x v="3"/>
    <n v="80176.34"/>
    <n v="9489"/>
    <n v="0.14199999999999999"/>
    <n v="22"/>
    <n v="94.3"/>
    <n v="2.67"/>
    <n v="0"/>
    <n v="3.5"/>
    <n v="873380.02"/>
    <n v="149734.76"/>
  </r>
  <r>
    <s v="STR-1029"/>
    <d v="2025-03-01T00:00:00"/>
    <s v="West"/>
    <x v="3"/>
    <n v="33605.18"/>
    <n v="9225"/>
    <n v="0.159"/>
    <n v="23"/>
    <n v="88.4"/>
    <n v="5.91"/>
    <n v="0"/>
    <n v="2.8"/>
    <n v="697287.9"/>
    <n v="128208.33"/>
  </r>
  <r>
    <s v="STR-1029"/>
    <d v="2025-04-01T00:00:00"/>
    <s v="West"/>
    <x v="3"/>
    <n v="25990.54"/>
    <n v="9249"/>
    <n v="0.13900000000000001"/>
    <n v="23"/>
    <n v="92.5"/>
    <n v="6.37"/>
    <n v="0"/>
    <n v="3.3"/>
    <n v="718074.79"/>
    <n v="115819.87"/>
  </r>
  <r>
    <s v="STR-1030"/>
    <d v="2025-01-01T00:00:00"/>
    <s v="West"/>
    <x v="0"/>
    <n v="43685.14"/>
    <n v="7821"/>
    <n v="0.19"/>
    <n v="17"/>
    <n v="91"/>
    <n v="2.4900000000000002"/>
    <n v="1"/>
    <n v="4.7"/>
    <n v="714942.43"/>
    <n v="94697.71"/>
  </r>
  <r>
    <s v="STR-1030"/>
    <d v="2025-02-01T00:00:00"/>
    <s v="West"/>
    <x v="0"/>
    <n v="57360.01"/>
    <n v="8434"/>
    <n v="0.151"/>
    <n v="19"/>
    <n v="84.1"/>
    <n v="1.56"/>
    <n v="0"/>
    <n v="4.7"/>
    <n v="820519.04"/>
    <n v="99035.88"/>
  </r>
  <r>
    <s v="STR-1030"/>
    <d v="2025-03-01T00:00:00"/>
    <s v="West"/>
    <x v="0"/>
    <n v="42415.47"/>
    <n v="8512"/>
    <n v="0.13300000000000001"/>
    <n v="18"/>
    <n v="96.8"/>
    <n v="14.95"/>
    <n v="0"/>
    <n v="4.5999999999999996"/>
    <n v="684217.32"/>
    <n v="136217.19"/>
  </r>
  <r>
    <s v="STR-1030"/>
    <d v="2025-04-01T00:00:00"/>
    <s v="West"/>
    <x v="0"/>
    <n v="54968.98"/>
    <n v="7816"/>
    <n v="0.23200000000000001"/>
    <n v="19"/>
    <n v="95.7"/>
    <n v="7.85"/>
    <n v="0"/>
    <n v="4.7"/>
    <n v="735480.19"/>
    <n v="88342.11"/>
  </r>
  <r>
    <s v="STR-1031"/>
    <d v="2025-01-01T00:00:00"/>
    <s v="North"/>
    <x v="1"/>
    <n v="43896.13"/>
    <n v="3853"/>
    <n v="8.7999999999999995E-2"/>
    <n v="13"/>
    <n v="83"/>
    <n v="6.8"/>
    <n v="0"/>
    <n v="4.4000000000000004"/>
    <n v="509484.81"/>
    <n v="85742.36"/>
  </r>
  <r>
    <s v="STR-1031"/>
    <d v="2025-02-01T00:00:00"/>
    <s v="North"/>
    <x v="1"/>
    <n v="83044.17"/>
    <n v="3694"/>
    <n v="0"/>
    <n v="14"/>
    <n v="89.4"/>
    <n v="2.2000000000000002"/>
    <n v="0"/>
    <n v="3.7"/>
    <n v="654317.09"/>
    <n v="121446.89"/>
  </r>
  <r>
    <s v="STR-1031"/>
    <d v="2025-03-01T00:00:00"/>
    <s v="North"/>
    <x v="1"/>
    <n v="48396.13"/>
    <n v="4423"/>
    <n v="6.9000000000000006E-2"/>
    <n v="15"/>
    <n v="85.7"/>
    <n v="1.88"/>
    <n v="0"/>
    <n v="3.9"/>
    <n v="557487.26"/>
    <n v="76432.19"/>
  </r>
  <r>
    <s v="STR-1031"/>
    <d v="2025-04-01T00:00:00"/>
    <s v="North"/>
    <x v="1"/>
    <n v="19063.48"/>
    <n v="1906"/>
    <n v="0.216"/>
    <n v="10"/>
    <n v="97.8"/>
    <n v="15.79"/>
    <n v="0"/>
    <n v="4.4000000000000004"/>
    <n v="441275.42"/>
    <n v="58234.87"/>
  </r>
  <r>
    <s v="STR-1032"/>
    <d v="2025-01-01T00:00:00"/>
    <s v="South"/>
    <x v="1"/>
    <n v="61541.21"/>
    <n v="10396"/>
    <n v="0.123"/>
    <n v="25"/>
    <n v="88.1"/>
    <n v="2.34"/>
    <n v="1"/>
    <n v="4.8"/>
    <n v="914544.17"/>
    <n v="79831.73"/>
  </r>
  <r>
    <s v="STR-1032"/>
    <d v="2025-02-01T00:00:00"/>
    <s v="South"/>
    <x v="1"/>
    <n v="44747"/>
    <n v="11076"/>
    <n v="0.17599999999999999"/>
    <n v="27"/>
    <n v="98.3"/>
    <n v="0.54"/>
    <n v="0"/>
    <n v="4.4000000000000004"/>
    <n v="842439.67"/>
    <n v="169983.63"/>
  </r>
  <r>
    <s v="STR-1032"/>
    <d v="2025-03-01T00:00:00"/>
    <s v="South"/>
    <x v="1"/>
    <n v="56517.9"/>
    <n v="9574"/>
    <n v="0.20399999999999999"/>
    <n v="20"/>
    <n v="88.2"/>
    <n v="5.37"/>
    <n v="1"/>
    <n v="4.9000000000000004"/>
    <n v="842157.92"/>
    <n v="107348.22"/>
  </r>
  <r>
    <s v="STR-1032"/>
    <d v="2025-04-01T00:00:00"/>
    <s v="South"/>
    <x v="1"/>
    <n v="37828.5"/>
    <n v="8221"/>
    <n v="9.6000000000000002E-2"/>
    <n v="19"/>
    <n v="81.5"/>
    <n v="3.19"/>
    <n v="0"/>
    <n v="4.8"/>
    <n v="697155.3"/>
    <n v="136408.54"/>
  </r>
  <r>
    <s v="STR-1033"/>
    <d v="2025-01-01T00:00:00"/>
    <s v="East"/>
    <x v="1"/>
    <n v="66250.53"/>
    <n v="10618"/>
    <n v="0.14199999999999999"/>
    <n v="27"/>
    <n v="88.3"/>
    <n v="1.1000000000000001"/>
    <n v="1"/>
    <n v="4.4000000000000004"/>
    <n v="849018.3"/>
    <n v="149035.13"/>
  </r>
  <r>
    <s v="STR-1033"/>
    <d v="2025-02-01T00:00:00"/>
    <s v="East"/>
    <x v="1"/>
    <n v="68410.929999999993"/>
    <n v="10596"/>
    <n v="0.20699999999999999"/>
    <n v="25"/>
    <n v="81.2"/>
    <n v="0.21"/>
    <n v="0"/>
    <n v="4"/>
    <n v="801830.35"/>
    <n v="114875.32"/>
  </r>
  <r>
    <s v="STR-1033"/>
    <d v="2025-03-01T00:00:00"/>
    <s v="East"/>
    <x v="1"/>
    <n v="50735.63"/>
    <n v="9619"/>
    <n v="0.14399999999999999"/>
    <n v="19"/>
    <n v="93.8"/>
    <n v="5.12"/>
    <n v="1"/>
    <n v="4.5"/>
    <n v="725235.28"/>
    <n v="121632.24"/>
  </r>
  <r>
    <s v="STR-1033"/>
    <d v="2025-04-01T00:00:00"/>
    <s v="East"/>
    <x v="1"/>
    <n v="66455.8"/>
    <n v="10836"/>
    <n v="8.8999999999999996E-2"/>
    <n v="25"/>
    <n v="85"/>
    <n v="9.77"/>
    <n v="0"/>
    <n v="4.5"/>
    <n v="811452.72"/>
    <n v="131325.67000000001"/>
  </r>
  <r>
    <s v="STR-1034"/>
    <d v="2025-01-01T00:00:00"/>
    <s v="North"/>
    <x v="1"/>
    <n v="70276.28"/>
    <n v="3043"/>
    <n v="7.9000000000000001E-2"/>
    <n v="9"/>
    <n v="87.9"/>
    <n v="3.77"/>
    <n v="0"/>
    <n v="4.4000000000000004"/>
    <n v="527300.13"/>
    <n v="84197.87"/>
  </r>
  <r>
    <s v="STR-1034"/>
    <d v="2025-02-01T00:00:00"/>
    <s v="North"/>
    <x v="1"/>
    <n v="22071.64"/>
    <n v="1814"/>
    <n v="0.19600000000000001"/>
    <n v="8"/>
    <n v="81.099999999999994"/>
    <n v="0.78"/>
    <n v="0"/>
    <m/>
    <n v="400831.65"/>
    <n v="70979.31"/>
  </r>
  <r>
    <s v="STR-1034"/>
    <d v="2025-03-01T00:00:00"/>
    <s v="North"/>
    <x v="1"/>
    <n v="52285.45"/>
    <n v="3618"/>
    <n v="8.5999999999999993E-2"/>
    <n v="11"/>
    <n v="95.6"/>
    <n v="5.17"/>
    <n v="1"/>
    <n v="4.4000000000000004"/>
    <n v="593247.25"/>
    <n v="81240.289999999994"/>
  </r>
  <r>
    <s v="STR-1034"/>
    <d v="2025-04-01T00:00:00"/>
    <s v="North"/>
    <x v="1"/>
    <n v="70366.759999999995"/>
    <n v="1963"/>
    <n v="0.182"/>
    <n v="8"/>
    <n v="89.8"/>
    <n v="3.2"/>
    <n v="0"/>
    <n v="4.5999999999999996"/>
    <n v="529075.94999999995"/>
    <n v="95978.83"/>
  </r>
  <r>
    <s v="STR-1035"/>
    <d v="2025-01-01T00:00:00"/>
    <s v="South"/>
    <x v="0"/>
    <n v="71320.66"/>
    <n v="7888"/>
    <n v="4.8000000000000001E-2"/>
    <n v="20"/>
    <n v="78.099999999999994"/>
    <n v="3.4"/>
    <n v="0"/>
    <m/>
    <n v="633638.03"/>
    <n v="99402.01"/>
  </r>
  <r>
    <s v="STR-1035"/>
    <d v="2025-02-01T00:00:00"/>
    <s v="South"/>
    <x v="0"/>
    <n v="75109.67"/>
    <n v="6244"/>
    <n v="7.9000000000000001E-2"/>
    <n v="15"/>
    <n v="96.3"/>
    <n v="7.38"/>
    <n v="0"/>
    <n v="3.7"/>
    <n v="743348.84"/>
    <n v="104186.09"/>
  </r>
  <r>
    <s v="STR-1035"/>
    <d v="2025-03-01T00:00:00"/>
    <s v="South"/>
    <x v="0"/>
    <n v="69779"/>
    <n v="6544"/>
    <n v="0.152"/>
    <n v="18"/>
    <n v="90.2"/>
    <n v="0.85"/>
    <n v="1"/>
    <n v="3.3"/>
    <n v="758827.64"/>
    <n v="161439.48000000001"/>
  </r>
  <r>
    <s v="STR-1035"/>
    <d v="2025-04-01T00:00:00"/>
    <s v="South"/>
    <x v="0"/>
    <n v="44211.95"/>
    <n v="5465"/>
    <n v="0.187"/>
    <n v="12"/>
    <n v="90"/>
    <n v="2.89"/>
    <n v="0"/>
    <n v="3.6"/>
    <n v="646559.71"/>
    <n v="97981.75"/>
  </r>
  <r>
    <s v="STR-1036"/>
    <d v="2025-01-01T00:00:00"/>
    <s v="West"/>
    <x v="1"/>
    <n v="51430.31"/>
    <n v="6427"/>
    <n v="0.23400000000000001"/>
    <n v="14"/>
    <n v="88.8"/>
    <n v="0.77"/>
    <n v="0"/>
    <n v="4.0999999999999996"/>
    <n v="715890.53"/>
    <n v="109032.15"/>
  </r>
  <r>
    <s v="STR-1036"/>
    <d v="2025-02-01T00:00:00"/>
    <s v="West"/>
    <x v="1"/>
    <n v="45706.49"/>
    <n v="6704"/>
    <n v="3.7999999999999999E-2"/>
    <n v="15"/>
    <n v="94.2"/>
    <n v="2.92"/>
    <n v="0"/>
    <n v="4.2"/>
    <n v="715097.57"/>
    <n v="151875.85999999999"/>
  </r>
  <r>
    <s v="STR-1036"/>
    <d v="2025-03-01T00:00:00"/>
    <s v="West"/>
    <x v="1"/>
    <n v="44034.6"/>
    <n v="5645"/>
    <n v="6.9000000000000006E-2"/>
    <n v="18"/>
    <n v="88.5"/>
    <n v="3.07"/>
    <n v="0"/>
    <n v="3.8"/>
    <n v="682639.28"/>
    <n v="77557.53"/>
  </r>
  <r>
    <s v="STR-1036"/>
    <d v="2025-04-01T00:00:00"/>
    <s v="West"/>
    <x v="1"/>
    <n v="50198.12"/>
    <n v="6089"/>
    <n v="0.182"/>
    <n v="19"/>
    <n v="94"/>
    <n v="9.6999999999999993"/>
    <n v="0"/>
    <n v="3.9"/>
    <n v="695098.51"/>
    <n v="108192.75"/>
  </r>
  <r>
    <s v="STR-1037"/>
    <d v="2025-01-01T00:00:00"/>
    <s v="North"/>
    <x v="0"/>
    <n v="70488.2"/>
    <n v="4312"/>
    <n v="0.16900000000000001"/>
    <n v="12"/>
    <n v="90.2"/>
    <n v="3.71"/>
    <n v="0"/>
    <n v="3.2"/>
    <n v="577732.56999999995"/>
    <n v="93804.27"/>
  </r>
  <r>
    <s v="STR-1037"/>
    <d v="2025-02-01T00:00:00"/>
    <s v="North"/>
    <x v="0"/>
    <n v="50909.27"/>
    <n v="3152"/>
    <n v="0.06"/>
    <n v="13"/>
    <n v="93.7"/>
    <n v="10.79"/>
    <n v="0"/>
    <n v="3.5"/>
    <n v="537058.32999999996"/>
    <n v="93555.71"/>
  </r>
  <r>
    <s v="STR-1037"/>
    <d v="2025-03-01T00:00:00"/>
    <s v="North"/>
    <x v="0"/>
    <n v="53351.7"/>
    <n v="4259"/>
    <n v="0.156"/>
    <n v="15"/>
    <n v="93.7"/>
    <n v="6.03"/>
    <n v="0"/>
    <n v="3.4"/>
    <n v="601568.87"/>
    <n v="91634.82"/>
  </r>
  <r>
    <s v="STR-1037"/>
    <d v="2025-04-01T00:00:00"/>
    <s v="North"/>
    <x v="0"/>
    <n v="60322.400000000001"/>
    <n v="3350"/>
    <n v="0.108"/>
    <n v="12"/>
    <n v="89.4"/>
    <n v="4.92"/>
    <n v="0"/>
    <n v="3.4"/>
    <n v="570964.84"/>
    <n v="81331.070000000007"/>
  </r>
  <r>
    <s v="STR-1038"/>
    <d v="2025-01-01T00:00:00"/>
    <s v="South"/>
    <x v="3"/>
    <n v="51575.68"/>
    <n v="5329"/>
    <n v="4.7E-2"/>
    <n v="17"/>
    <n v="88.1"/>
    <n v="19.78"/>
    <n v="0"/>
    <n v="3.8"/>
    <n v="614024.91"/>
    <n v="84828.93"/>
  </r>
  <r>
    <s v="STR-1038"/>
    <d v="2025-02-01T00:00:00"/>
    <s v="South"/>
    <x v="3"/>
    <n v="43319.94"/>
    <n v="6551"/>
    <n v="4.3999999999999997E-2"/>
    <n v="13"/>
    <n v="99"/>
    <n v="5.45"/>
    <n v="0"/>
    <n v="4.0999999999999996"/>
    <n v="712868.35"/>
    <n v="133650.51"/>
  </r>
  <r>
    <s v="STR-1038"/>
    <d v="2025-03-01T00:00:00"/>
    <s v="South"/>
    <x v="3"/>
    <n v="47093.55"/>
    <n v="5550"/>
    <n v="0.1"/>
    <n v="12"/>
    <n v="95"/>
    <n v="2.33"/>
    <n v="1"/>
    <n v="3.7"/>
    <n v="696744.15"/>
    <n v="152230.09"/>
  </r>
  <r>
    <s v="STR-1038"/>
    <d v="2025-04-01T00:00:00"/>
    <s v="South"/>
    <x v="3"/>
    <n v="71855.09"/>
    <n v="5911"/>
    <n v="0.19700000000000001"/>
    <n v="15"/>
    <n v="94.3"/>
    <n v="3.55"/>
    <n v="0"/>
    <n v="4.0999999999999996"/>
    <n v="725847.99"/>
    <n v="122698.73"/>
  </r>
  <r>
    <s v="STR-1039"/>
    <d v="2025-01-01T00:00:00"/>
    <s v="East"/>
    <x v="1"/>
    <n v="75645.23"/>
    <n v="9674"/>
    <n v="0.23400000000000001"/>
    <n v="21"/>
    <n v="87.4"/>
    <n v="0.2"/>
    <n v="0"/>
    <n v="4.5"/>
    <n v="785028.25"/>
    <n v="110726.44"/>
  </r>
  <r>
    <s v="STR-1039"/>
    <d v="2025-02-01T00:00:00"/>
    <s v="East"/>
    <x v="1"/>
    <n v="64374.75"/>
    <n v="6740"/>
    <n v="0.16900000000000001"/>
    <n v="18"/>
    <n v="87"/>
    <n v="2.09"/>
    <n v="0"/>
    <n v="4.2"/>
    <n v="698492.67"/>
    <n v="117319.32"/>
  </r>
  <r>
    <s v="STR-1039"/>
    <d v="2025-03-01T00:00:00"/>
    <s v="East"/>
    <x v="1"/>
    <n v="61433.84"/>
    <n v="7745"/>
    <n v="0.18"/>
    <n v="16"/>
    <n v="90.5"/>
    <n v="2.2599999999999998"/>
    <n v="0"/>
    <n v="4.2"/>
    <n v="685830.24"/>
    <n v="128736.18"/>
  </r>
  <r>
    <s v="STR-1039"/>
    <d v="2025-04-01T00:00:00"/>
    <s v="East"/>
    <x v="1"/>
    <n v="42698.14"/>
    <n v="7693"/>
    <n v="0.187"/>
    <n v="19"/>
    <n v="90.1"/>
    <n v="0.44"/>
    <n v="0"/>
    <n v="4.4000000000000004"/>
    <n v="702318.94"/>
    <n v="112829.29"/>
  </r>
  <r>
    <s v="STR-1040"/>
    <d v="2025-01-01T00:00:00"/>
    <s v="North"/>
    <x v="3"/>
    <n v="86883.31"/>
    <n v="6424"/>
    <n v="5.7000000000000002E-2"/>
    <n v="19"/>
    <n v="85.2"/>
    <n v="3.08"/>
    <n v="0"/>
    <n v="3.9"/>
    <n v="700078.32"/>
    <n v="123707.58"/>
  </r>
  <r>
    <s v="STR-1040"/>
    <d v="2025-02-01T00:00:00"/>
    <s v="North"/>
    <x v="3"/>
    <n v="41863.08"/>
    <n v="5400"/>
    <n v="0.114"/>
    <n v="11"/>
    <n v="91.6"/>
    <n v="7.99"/>
    <n v="0"/>
    <n v="3"/>
    <n v="602002.31999999995"/>
    <n v="110453.28"/>
  </r>
  <r>
    <s v="STR-1040"/>
    <d v="2025-03-01T00:00:00"/>
    <s v="North"/>
    <x v="3"/>
    <n v="56918.16"/>
    <n v="7015"/>
    <n v="0.158"/>
    <n v="18"/>
    <n v="74.2"/>
    <n v="0.2"/>
    <n v="0"/>
    <n v="3.4"/>
    <n v="724216.07"/>
    <n v="100627.56"/>
  </r>
  <r>
    <s v="STR-1040"/>
    <d v="2025-04-01T00:00:00"/>
    <s v="North"/>
    <x v="3"/>
    <n v="23254.57"/>
    <n v="3847"/>
    <n v="0.159"/>
    <n v="12"/>
    <n v="93"/>
    <n v="5.46"/>
    <n v="0"/>
    <n v="3.3"/>
    <n v="620973.03"/>
    <n v="72303.850000000006"/>
  </r>
  <r>
    <s v="STR-1041"/>
    <d v="2025-01-01T00:00:00"/>
    <s v="South"/>
    <x v="1"/>
    <n v="41443.410000000003"/>
    <n v="7455"/>
    <n v="0.17499999999999999"/>
    <n v="16"/>
    <n v="90.1"/>
    <n v="4.05"/>
    <n v="0"/>
    <n v="4"/>
    <n v="650480.06000000006"/>
    <n v="109012.07"/>
  </r>
  <r>
    <s v="STR-1041"/>
    <d v="2025-02-01T00:00:00"/>
    <s v="South"/>
    <x v="1"/>
    <n v="48438.85"/>
    <n v="6992"/>
    <n v="3.4000000000000002E-2"/>
    <n v="20"/>
    <n v="91"/>
    <n v="4.3600000000000003"/>
    <n v="0"/>
    <n v="4.2"/>
    <n v="778298.88"/>
    <n v="130076.72"/>
  </r>
  <r>
    <s v="STR-1041"/>
    <d v="2025-03-01T00:00:00"/>
    <s v="South"/>
    <x v="1"/>
    <n v="57143.3"/>
    <n v="8038"/>
    <n v="0.193"/>
    <n v="17"/>
    <n v="72.599999999999994"/>
    <m/>
    <n v="0"/>
    <n v="4.2"/>
    <n v="677096.71"/>
    <n v="97174.11"/>
  </r>
  <r>
    <s v="STR-1041"/>
    <d v="2025-04-01T00:00:00"/>
    <s v="South"/>
    <x v="1"/>
    <n v="66870.62"/>
    <n v="6055"/>
    <n v="7.4999999999999997E-2"/>
    <n v="19"/>
    <n v="93.8"/>
    <n v="0.54"/>
    <n v="0"/>
    <n v="4.3"/>
    <n v="692008.64"/>
    <n v="116337.87"/>
  </r>
  <r>
    <s v="STR-1042"/>
    <d v="2025-01-01T00:00:00"/>
    <s v="North"/>
    <x v="3"/>
    <n v="72150.53"/>
    <n v="9323"/>
    <n v="0.157"/>
    <n v="22"/>
    <n v="82.9"/>
    <n v="11.37"/>
    <n v="1"/>
    <n v="4.3"/>
    <n v="825797.91"/>
    <n v="130945.24"/>
  </r>
  <r>
    <s v="STR-1042"/>
    <d v="2025-02-01T00:00:00"/>
    <s v="North"/>
    <x v="3"/>
    <n v="35303.300000000003"/>
    <n v="8789"/>
    <n v="0.123"/>
    <n v="22"/>
    <n v="86.1"/>
    <n v="9.43"/>
    <n v="0"/>
    <n v="4.2"/>
    <n v="706285.52"/>
    <n v="138014.72"/>
  </r>
  <r>
    <s v="STR-1042"/>
    <d v="2025-03-01T00:00:00"/>
    <s v="North"/>
    <x v="3"/>
    <n v="30301.86"/>
    <n v="6939"/>
    <n v="0.09"/>
    <n v="16"/>
    <n v="90.3"/>
    <n v="3.49"/>
    <n v="0"/>
    <n v="4"/>
    <n v="665534.69999999995"/>
    <n v="113167.73"/>
  </r>
  <r>
    <s v="STR-1042"/>
    <d v="2025-04-01T00:00:00"/>
    <s v="North"/>
    <x v="3"/>
    <n v="78432.14"/>
    <n v="9440"/>
    <n v="0.126"/>
    <n v="23"/>
    <n v="89.2"/>
    <n v="7.86"/>
    <n v="0"/>
    <n v="4.0999999999999996"/>
    <n v="820729.29"/>
    <n v="159325.47"/>
  </r>
  <r>
    <s v="STR-1043"/>
    <d v="2025-01-01T00:00:00"/>
    <s v="East"/>
    <x v="0"/>
    <n v="62059.18"/>
    <n v="9374"/>
    <n v="0.13600000000000001"/>
    <n v="25"/>
    <n v="87.1"/>
    <n v="12.55"/>
    <n v="0"/>
    <n v="4.9000000000000004"/>
    <n v="739831.73"/>
    <n v="119490.21"/>
  </r>
  <r>
    <s v="STR-1043"/>
    <d v="2025-02-01T00:00:00"/>
    <s v="East"/>
    <x v="0"/>
    <n v="32834.480000000003"/>
    <n v="7576"/>
    <n v="9.9000000000000005E-2"/>
    <n v="15"/>
    <n v="84.1"/>
    <n v="3.48"/>
    <n v="0"/>
    <n v="5"/>
    <n v="593637.14"/>
    <n v="106648.14"/>
  </r>
  <r>
    <s v="STR-1043"/>
    <d v="2025-03-01T00:00:00"/>
    <s v="East"/>
    <x v="0"/>
    <n v="50825.08"/>
    <n v="8949"/>
    <n v="0.157"/>
    <n v="21"/>
    <n v="84.7"/>
    <n v="7.73"/>
    <n v="0"/>
    <n v="4.9000000000000004"/>
    <n v="769702.76"/>
    <n v="158697"/>
  </r>
  <r>
    <s v="STR-1043"/>
    <d v="2025-04-01T00:00:00"/>
    <s v="East"/>
    <x v="0"/>
    <n v="36606.51"/>
    <n v="7671"/>
    <n v="0.11799999999999999"/>
    <n v="18"/>
    <n v="89.8"/>
    <n v="0.25"/>
    <n v="0"/>
    <n v="4.4000000000000004"/>
    <n v="679731.57"/>
    <n v="121546.42"/>
  </r>
  <r>
    <s v="STR-1044"/>
    <d v="2025-01-01T00:00:00"/>
    <s v="East"/>
    <x v="0"/>
    <n v="65237.79"/>
    <n v="8741"/>
    <n v="0.157"/>
    <n v="20"/>
    <n v="94.4"/>
    <n v="6.43"/>
    <n v="0"/>
    <n v="3.3"/>
    <n v="780344.18"/>
    <n v="118239.09"/>
  </r>
  <r>
    <s v="STR-1044"/>
    <d v="2025-02-01T00:00:00"/>
    <s v="East"/>
    <x v="0"/>
    <n v="43645.98"/>
    <n v="9480"/>
    <n v="0.109"/>
    <n v="22"/>
    <n v="89"/>
    <n v="2.11"/>
    <n v="0"/>
    <n v="3.1"/>
    <n v="721364.11"/>
    <n v="147272.81"/>
  </r>
  <r>
    <s v="STR-1044"/>
    <d v="2025-03-01T00:00:00"/>
    <s v="East"/>
    <x v="0"/>
    <n v="68040.149999999994"/>
    <n v="9826"/>
    <n v="0.125"/>
    <n v="20"/>
    <n v="83.9"/>
    <n v="9.1199999999999992"/>
    <n v="0"/>
    <n v="3.6"/>
    <n v="758138.29"/>
    <n v="132975.26"/>
  </r>
  <r>
    <s v="STR-1044"/>
    <d v="2025-04-01T00:00:00"/>
    <s v="East"/>
    <x v="0"/>
    <n v="63043.94"/>
    <n v="10402"/>
    <n v="0.159"/>
    <n v="23"/>
    <n v="93.9"/>
    <n v="2.71"/>
    <n v="0"/>
    <n v="3.1"/>
    <n v="804264"/>
    <n v="167117.91"/>
  </r>
  <r>
    <s v="STR-1045"/>
    <d v="2025-01-01T00:00:00"/>
    <s v="West"/>
    <x v="2"/>
    <n v="67494.09"/>
    <n v="12361"/>
    <n v="4.5999999999999999E-2"/>
    <n v="24"/>
    <n v="76.599999999999994"/>
    <n v="3.65"/>
    <n v="1"/>
    <n v="3.7"/>
    <n v="887537.75"/>
    <n v="160362.92000000001"/>
  </r>
  <r>
    <s v="STR-1045"/>
    <d v="2025-02-01T00:00:00"/>
    <s v="West"/>
    <x v="2"/>
    <n v="29389.32"/>
    <n v="7925"/>
    <n v="0.17699999999999999"/>
    <n v="21"/>
    <n v="90.9"/>
    <n v="7.86"/>
    <n v="0"/>
    <n v="4"/>
    <n v="783582"/>
    <n v="130670.93"/>
  </r>
  <r>
    <s v="STR-1045"/>
    <d v="2025-03-01T00:00:00"/>
    <s v="West"/>
    <x v="2"/>
    <n v="40535.089999999997"/>
    <n v="8870"/>
    <n v="4.1000000000000002E-2"/>
    <n v="21"/>
    <n v="86.6"/>
    <n v="0.3"/>
    <n v="0"/>
    <n v="4.0999999999999996"/>
    <n v="781955.52"/>
    <n v="152578.71"/>
  </r>
  <r>
    <s v="STR-1045"/>
    <d v="2025-04-01T00:00:00"/>
    <s v="West"/>
    <x v="2"/>
    <n v="74881.56"/>
    <n v="9999"/>
    <n v="1.2999999999999999E-2"/>
    <n v="20"/>
    <n v="89.6"/>
    <n v="8.44"/>
    <n v="0"/>
    <n v="4.0999999999999996"/>
    <n v="898031.04"/>
    <n v="138666.5"/>
  </r>
  <r>
    <s v="STR-1046"/>
    <d v="2025-01-01T00:00:00"/>
    <s v="West"/>
    <x v="0"/>
    <n v="68491.11"/>
    <n v="11154"/>
    <n v="1E-3"/>
    <n v="24"/>
    <n v="89.4"/>
    <n v="5.27"/>
    <n v="1"/>
    <n v="3.9"/>
    <n v="855341.28"/>
    <n v="175823.8"/>
  </r>
  <r>
    <s v="STR-1046"/>
    <d v="2025-02-01T00:00:00"/>
    <s v="West"/>
    <x v="0"/>
    <n v="45209.25"/>
    <n v="9287"/>
    <n v="0.14099999999999999"/>
    <n v="22"/>
    <n v="86.4"/>
    <n v="13.22"/>
    <n v="0"/>
    <n v="3.6"/>
    <n v="751393.88"/>
    <n v="91480.320000000007"/>
  </r>
  <r>
    <s v="STR-1046"/>
    <d v="2025-03-01T00:00:00"/>
    <s v="West"/>
    <x v="0"/>
    <n v="63010.23"/>
    <n v="9812"/>
    <n v="0.113"/>
    <n v="24"/>
    <n v="76.8"/>
    <n v="1.02"/>
    <n v="1"/>
    <n v="3.8"/>
    <n v="761077.08"/>
    <n v="113605.93"/>
  </r>
  <r>
    <s v="STR-1046"/>
    <d v="2025-04-01T00:00:00"/>
    <s v="West"/>
    <x v="0"/>
    <n v="57948.88"/>
    <n v="10741"/>
    <n v="7.0000000000000007E-2"/>
    <n v="25"/>
    <n v="90.1"/>
    <n v="4.03"/>
    <n v="0"/>
    <n v="3.1"/>
    <n v="819660.59"/>
    <n v="172699.95"/>
  </r>
  <r>
    <s v="STR-1047"/>
    <d v="2025-01-01T00:00:00"/>
    <s v="North"/>
    <x v="1"/>
    <n v="71941.62"/>
    <n v="6084"/>
    <n v="7.1999999999999995E-2"/>
    <n v="13"/>
    <n v="93.7"/>
    <n v="2.34"/>
    <n v="0"/>
    <n v="4.4000000000000004"/>
    <n v="681855.56"/>
    <n v="117645.61"/>
  </r>
  <r>
    <s v="STR-1047"/>
    <d v="2025-02-01T00:00:00"/>
    <s v="North"/>
    <x v="1"/>
    <n v="57147.88"/>
    <n v="5252"/>
    <n v="0.161"/>
    <n v="15"/>
    <n v="95.5"/>
    <n v="8.51"/>
    <n v="0"/>
    <n v="4.4000000000000004"/>
    <n v="678311.17"/>
    <n v="132029.76000000001"/>
  </r>
  <r>
    <s v="STR-1047"/>
    <d v="2025-03-01T00:00:00"/>
    <s v="North"/>
    <x v="1"/>
    <n v="48031.74"/>
    <n v="6516"/>
    <n v="6.7000000000000004E-2"/>
    <n v="14"/>
    <n v="99"/>
    <n v="0.48"/>
    <n v="1"/>
    <n v="4.3"/>
    <n v="765906.95"/>
    <n v="114005.9"/>
  </r>
  <r>
    <s v="STR-1047"/>
    <d v="2025-04-01T00:00:00"/>
    <s v="North"/>
    <x v="1"/>
    <n v="72784.800000000003"/>
    <n v="7932"/>
    <n v="9.4E-2"/>
    <n v="20"/>
    <n v="74.900000000000006"/>
    <n v="13.62"/>
    <n v="0"/>
    <n v="4.2"/>
    <n v="712546.38"/>
    <n v="101480.04"/>
  </r>
  <r>
    <s v="STR-1048"/>
    <d v="2025-01-01T00:00:00"/>
    <s v="East"/>
    <x v="1"/>
    <n v="71641.899999999994"/>
    <n v="3506"/>
    <n v="0"/>
    <n v="11"/>
    <n v="86.4"/>
    <n v="7.77"/>
    <n v="0"/>
    <n v="4.0999999999999996"/>
    <n v="625993.82999999996"/>
    <n v="98960.320000000007"/>
  </r>
  <r>
    <s v="STR-1048"/>
    <d v="2025-02-01T00:00:00"/>
    <s v="East"/>
    <x v="1"/>
    <n v="55788.61"/>
    <n v="2312"/>
    <n v="5.8000000000000003E-2"/>
    <n v="10"/>
    <n v="91.3"/>
    <n v="1.99"/>
    <n v="0"/>
    <n v="3.8"/>
    <n v="550962.93000000005"/>
    <n v="97144.58"/>
  </r>
  <r>
    <s v="STR-1048"/>
    <d v="2025-03-01T00:00:00"/>
    <s v="East"/>
    <x v="1"/>
    <n v="37705.879999999997"/>
    <n v="1268"/>
    <n v="0.25900000000000001"/>
    <n v="9"/>
    <n v="84.1"/>
    <n v="4.7699999999999996"/>
    <n v="0"/>
    <n v="3.8"/>
    <n v="443275.59"/>
    <n v="53544.36"/>
  </r>
  <r>
    <s v="STR-1048"/>
    <d v="2025-04-01T00:00:00"/>
    <s v="East"/>
    <x v="1"/>
    <n v="54966.18"/>
    <n v="4423"/>
    <n v="0.186"/>
    <n v="13"/>
    <n v="88.7"/>
    <n v="0.2"/>
    <n v="0"/>
    <n v="4.4000000000000004"/>
    <n v="554012.06999999995"/>
    <n v="81101.62"/>
  </r>
  <r>
    <s v="STR-1049"/>
    <d v="2025-01-01T00:00:00"/>
    <s v="West"/>
    <x v="0"/>
    <n v="81796.740000000005"/>
    <n v="6177"/>
    <n v="0.16400000000000001"/>
    <n v="14"/>
    <n v="87.9"/>
    <n v="0.53"/>
    <n v="0"/>
    <n v="3.2"/>
    <n v="643428.85"/>
    <n v="94477.63"/>
  </r>
  <r>
    <s v="STR-1049"/>
    <d v="2025-02-01T00:00:00"/>
    <s v="West"/>
    <x v="0"/>
    <n v="51133.43"/>
    <n v="5150"/>
    <n v="0.15"/>
    <n v="12"/>
    <n v="88.5"/>
    <n v="1.54"/>
    <n v="0"/>
    <n v="3.2"/>
    <n v="611924.27"/>
    <n v="115488.75"/>
  </r>
  <r>
    <s v="STR-1049"/>
    <d v="2025-03-01T00:00:00"/>
    <s v="West"/>
    <x v="0"/>
    <n v="40220.18"/>
    <n v="3783"/>
    <n v="8.8999999999999996E-2"/>
    <n v="14"/>
    <n v="86.6"/>
    <n v="3.63"/>
    <n v="0"/>
    <n v="3.7"/>
    <n v="559422.02"/>
    <n v="73528.740000000005"/>
  </r>
  <r>
    <s v="STR-1049"/>
    <d v="2025-04-01T00:00:00"/>
    <s v="West"/>
    <x v="0"/>
    <n v="41657.64"/>
    <n v="3135"/>
    <n v="0.22900000000000001"/>
    <n v="7"/>
    <n v="85.4"/>
    <n v="13.48"/>
    <n v="0"/>
    <m/>
    <n v="449465.06"/>
    <n v="65694.78"/>
  </r>
  <r>
    <s v="STR-1050"/>
    <d v="2025-01-01T00:00:00"/>
    <s v="North"/>
    <x v="0"/>
    <n v="71851.45"/>
    <n v="4970"/>
    <n v="9.8000000000000004E-2"/>
    <n v="11"/>
    <n v="89.6"/>
    <n v="0.2"/>
    <n v="0"/>
    <n v="4.2"/>
    <n v="691447.43"/>
    <n v="114077.69"/>
  </r>
  <r>
    <s v="STR-1050"/>
    <d v="2025-02-01T00:00:00"/>
    <s v="North"/>
    <x v="0"/>
    <n v="54002.83"/>
    <n v="4366"/>
    <n v="2.7E-2"/>
    <n v="15"/>
    <n v="90.6"/>
    <n v="12.82"/>
    <n v="0"/>
    <n v="4.5999999999999996"/>
    <n v="574066.61"/>
    <n v="124674.67"/>
  </r>
  <r>
    <s v="STR-1050"/>
    <d v="2025-03-01T00:00:00"/>
    <s v="North"/>
    <x v="0"/>
    <n v="54479.33"/>
    <n v="5012"/>
    <n v="0.28399999999999997"/>
    <n v="13"/>
    <n v="86"/>
    <n v="2.2400000000000002"/>
    <n v="1"/>
    <n v="4.3"/>
    <n v="578949.84"/>
    <n v="80253.649999999994"/>
  </r>
  <r>
    <s v="STR-1050"/>
    <d v="2025-04-01T00:00:00"/>
    <s v="North"/>
    <x v="0"/>
    <n v="61391.8"/>
    <n v="5575"/>
    <n v="0.189"/>
    <n v="18"/>
    <n v="90"/>
    <n v="1.8"/>
    <n v="0"/>
    <n v="4.8"/>
    <n v="735786.64"/>
    <n v="126540.66"/>
  </r>
  <r>
    <s v="STR-1051"/>
    <d v="2025-01-01T00:00:00"/>
    <s v="East"/>
    <x v="2"/>
    <n v="22312.93"/>
    <n v="5955"/>
    <n v="0.123"/>
    <n v="13"/>
    <n v="84.2"/>
    <n v="0.41"/>
    <n v="1"/>
    <n v="4.5999999999999996"/>
    <n v="598904.9"/>
    <n v="72861"/>
  </r>
  <r>
    <s v="STR-1051"/>
    <d v="2025-02-01T00:00:00"/>
    <s v="East"/>
    <x v="2"/>
    <n v="78111.97"/>
    <n v="6389"/>
    <n v="0.15"/>
    <n v="13"/>
    <n v="83.9"/>
    <n v="3.05"/>
    <n v="0"/>
    <n v="4.8"/>
    <n v="787715.51"/>
    <n v="128969.62"/>
  </r>
  <r>
    <s v="STR-1051"/>
    <d v="2025-03-01T00:00:00"/>
    <s v="East"/>
    <x v="2"/>
    <n v="35203.230000000003"/>
    <n v="6896"/>
    <n v="3.2000000000000001E-2"/>
    <n v="14"/>
    <n v="80.8"/>
    <n v="8.44"/>
    <n v="1"/>
    <n v="5"/>
    <n v="607084.92000000004"/>
    <n v="98558.49"/>
  </r>
  <r>
    <s v="STR-1051"/>
    <d v="2025-04-01T00:00:00"/>
    <s v="East"/>
    <x v="2"/>
    <n v="64104.28"/>
    <n v="6015"/>
    <n v="0.127"/>
    <n v="15"/>
    <n v="88.7"/>
    <n v="0.78"/>
    <n v="0"/>
    <n v="4"/>
    <n v="650795.49"/>
    <n v="103035.89"/>
  </r>
  <r>
    <s v="STR-1052"/>
    <d v="2025-01-01T00:00:00"/>
    <s v="East"/>
    <x v="3"/>
    <n v="92090.14"/>
    <n v="9476"/>
    <n v="7.0000000000000007E-2"/>
    <n v="24"/>
    <n v="94.3"/>
    <n v="0.87"/>
    <n v="0"/>
    <n v="3.7"/>
    <n v="825060.52"/>
    <n v="143613.15"/>
  </r>
  <r>
    <s v="STR-1052"/>
    <d v="2025-02-01T00:00:00"/>
    <s v="East"/>
    <x v="3"/>
    <n v="54300.87"/>
    <n v="7875"/>
    <n v="0.107"/>
    <n v="19"/>
    <n v="94.1"/>
    <n v="0.95"/>
    <n v="0"/>
    <n v="3.7"/>
    <n v="795464.47"/>
    <n v="161150.51999999999"/>
  </r>
  <r>
    <s v="STR-1052"/>
    <d v="2025-03-01T00:00:00"/>
    <s v="East"/>
    <x v="3"/>
    <n v="37983.35"/>
    <n v="9283"/>
    <n v="0.14899999999999999"/>
    <n v="19"/>
    <n v="83.2"/>
    <n v="3.82"/>
    <n v="0"/>
    <n v="3.7"/>
    <n v="671868.59"/>
    <n v="71003.28"/>
  </r>
  <r>
    <s v="STR-1052"/>
    <d v="2025-04-01T00:00:00"/>
    <s v="East"/>
    <x v="3"/>
    <n v="56413.83"/>
    <n v="8303"/>
    <n v="0.11600000000000001"/>
    <n v="18"/>
    <n v="93.6"/>
    <n v="2.7"/>
    <n v="0"/>
    <n v="3.7"/>
    <n v="675917.63"/>
    <n v="112564.75"/>
  </r>
  <r>
    <s v="STR-1053"/>
    <d v="2025-01-01T00:00:00"/>
    <s v="East"/>
    <x v="1"/>
    <n v="63457.19"/>
    <n v="10125"/>
    <n v="9.7000000000000003E-2"/>
    <n v="24"/>
    <n v="87"/>
    <n v="3.84"/>
    <n v="1"/>
    <n v="3.7"/>
    <n v="810446.53"/>
    <n v="200575.34"/>
  </r>
  <r>
    <s v="STR-1053"/>
    <d v="2025-02-01T00:00:00"/>
    <s v="East"/>
    <x v="1"/>
    <n v="62949.7"/>
    <n v="9458"/>
    <n v="0.17100000000000001"/>
    <n v="19"/>
    <n v="84.9"/>
    <n v="5.09"/>
    <n v="0"/>
    <n v="3.3"/>
    <n v="691288.19"/>
    <n v="159074.14000000001"/>
  </r>
  <r>
    <s v="STR-1053"/>
    <d v="2025-03-01T00:00:00"/>
    <s v="East"/>
    <x v="1"/>
    <n v="107970.19"/>
    <n v="12870"/>
    <n v="2.9000000000000001E-2"/>
    <n v="31"/>
    <n v="91.7"/>
    <n v="3.82"/>
    <n v="1"/>
    <n v="3.7"/>
    <n v="946833.54"/>
    <n v="184540.31"/>
  </r>
  <r>
    <s v="STR-1053"/>
    <d v="2025-04-01T00:00:00"/>
    <s v="East"/>
    <x v="1"/>
    <n v="49405.75"/>
    <n v="9752"/>
    <n v="9.2999999999999999E-2"/>
    <n v="21"/>
    <n v="87"/>
    <n v="12.28"/>
    <n v="0"/>
    <n v="4.0999999999999996"/>
    <n v="761963.23"/>
    <n v="150113.60999999999"/>
  </r>
  <r>
    <s v="STR-1054"/>
    <d v="2025-01-01T00:00:00"/>
    <s v="West"/>
    <x v="0"/>
    <n v="50887.46"/>
    <n v="9505"/>
    <n v="9.0999999999999998E-2"/>
    <n v="25"/>
    <n v="89.7"/>
    <n v="2.8"/>
    <n v="0"/>
    <n v="4.3"/>
    <n v="812152.6"/>
    <n v="138419.43"/>
  </r>
  <r>
    <s v="STR-1054"/>
    <d v="2025-02-01T00:00:00"/>
    <s v="West"/>
    <x v="0"/>
    <n v="41819.449999999997"/>
    <n v="9412"/>
    <n v="0.15"/>
    <n v="22"/>
    <n v="91"/>
    <n v="3.67"/>
    <n v="0"/>
    <n v="4.2"/>
    <n v="804975.5"/>
    <n v="140054.5"/>
  </r>
  <r>
    <s v="STR-1054"/>
    <d v="2025-03-01T00:00:00"/>
    <s v="West"/>
    <x v="0"/>
    <n v="35296.54"/>
    <n v="9644"/>
    <n v="0"/>
    <n v="22"/>
    <n v="88"/>
    <n v="2.81"/>
    <n v="0"/>
    <n v="4.7"/>
    <n v="752321.72"/>
    <n v="137788.51"/>
  </r>
  <r>
    <s v="STR-1054"/>
    <d v="2025-04-01T00:00:00"/>
    <s v="West"/>
    <x v="0"/>
    <n v="47391.09"/>
    <n v="11224"/>
    <n v="0.14699999999999999"/>
    <n v="25"/>
    <n v="88.4"/>
    <n v="2.44"/>
    <n v="0"/>
    <n v="4.9000000000000004"/>
    <n v="836908.24"/>
    <n v="141090.26"/>
  </r>
  <r>
    <s v="STR-1055"/>
    <d v="2025-01-01T00:00:00"/>
    <s v="North"/>
    <x v="2"/>
    <n v="69180.539999999994"/>
    <n v="5394"/>
    <n v="0.126"/>
    <n v="12"/>
    <n v="82.9"/>
    <n v="3.27"/>
    <n v="0"/>
    <n v="3.3"/>
    <n v="674289.1"/>
    <n v="117773.79"/>
  </r>
  <r>
    <s v="STR-1055"/>
    <d v="2025-02-01T00:00:00"/>
    <s v="North"/>
    <x v="2"/>
    <n v="33987.33"/>
    <n v="5014"/>
    <n v="0.246"/>
    <n v="17"/>
    <n v="94.3"/>
    <n v="10.34"/>
    <n v="0"/>
    <n v="3.9"/>
    <n v="622892.42000000004"/>
    <n v="101032.52"/>
  </r>
  <r>
    <s v="STR-1055"/>
    <d v="2025-03-01T00:00:00"/>
    <s v="North"/>
    <x v="2"/>
    <n v="58785.33"/>
    <n v="4467"/>
    <n v="0.22900000000000001"/>
    <n v="14"/>
    <n v="90.7"/>
    <n v="1.92"/>
    <n v="0"/>
    <n v="3.7"/>
    <n v="673348.56"/>
    <n v="69464.59"/>
  </r>
  <r>
    <s v="STR-1055"/>
    <d v="2025-04-01T00:00:00"/>
    <s v="North"/>
    <x v="2"/>
    <n v="16451.849999999999"/>
    <n v="4678"/>
    <n v="0.13300000000000001"/>
    <n v="11"/>
    <n v="95.9"/>
    <n v="3.1"/>
    <n v="0"/>
    <n v="3.9"/>
    <n v="606278.30000000005"/>
    <n v="102213.26"/>
  </r>
  <r>
    <s v="STR-1056"/>
    <d v="2025-01-01T00:00:00"/>
    <s v="East"/>
    <x v="1"/>
    <n v="53367.73"/>
    <n v="7291"/>
    <n v="0.14599999999999999"/>
    <n v="18"/>
    <n v="90.6"/>
    <n v="6.34"/>
    <n v="1"/>
    <n v="3.8"/>
    <n v="712219.81"/>
    <n v="85906.54"/>
  </r>
  <r>
    <s v="STR-1056"/>
    <d v="2025-02-01T00:00:00"/>
    <s v="East"/>
    <x v="1"/>
    <n v="27194.639999999999"/>
    <n v="7404"/>
    <n v="8.7999999999999995E-2"/>
    <n v="18"/>
    <n v="90.2"/>
    <n v="1.2"/>
    <n v="0"/>
    <n v="3.4"/>
    <n v="672670.54"/>
    <n v="132684.18"/>
  </r>
  <r>
    <s v="STR-1056"/>
    <d v="2025-03-01T00:00:00"/>
    <s v="East"/>
    <x v="1"/>
    <n v="66962.740000000005"/>
    <n v="7880"/>
    <n v="0.11600000000000001"/>
    <n v="19"/>
    <n v="90.4"/>
    <n v="4.5"/>
    <n v="0"/>
    <n v="3.3"/>
    <n v="732667.92"/>
    <n v="128654.46"/>
  </r>
  <r>
    <s v="STR-1056"/>
    <d v="2025-04-01T00:00:00"/>
    <s v="East"/>
    <x v="1"/>
    <n v="73540.990000000005"/>
    <n v="8773"/>
    <n v="3.5000000000000003E-2"/>
    <n v="21"/>
    <n v="84.4"/>
    <n v="6.68"/>
    <n v="0"/>
    <n v="3.6"/>
    <n v="723531.4"/>
    <n v="108794.85"/>
  </r>
  <r>
    <s v="STR-1057"/>
    <d v="2025-01-01T00:00:00"/>
    <s v="East"/>
    <x v="3"/>
    <n v="68212.289999999994"/>
    <n v="4713"/>
    <n v="0.19800000000000001"/>
    <n v="15"/>
    <n v="82.6"/>
    <n v="4.07"/>
    <n v="1"/>
    <n v="3"/>
    <n v="641564.6"/>
    <n v="90468.96"/>
  </r>
  <r>
    <s v="STR-1057"/>
    <d v="2025-02-01T00:00:00"/>
    <s v="East"/>
    <x v="3"/>
    <n v="57225.98"/>
    <n v="2842"/>
    <n v="0.112"/>
    <n v="10"/>
    <n v="79.5"/>
    <n v="5.45"/>
    <n v="0"/>
    <n v="3.4"/>
    <n v="536545.49"/>
    <n v="97917.45"/>
  </r>
  <r>
    <s v="STR-1057"/>
    <d v="2025-03-01T00:00:00"/>
    <s v="East"/>
    <x v="3"/>
    <n v="42932.02"/>
    <n v="3872"/>
    <n v="0.17100000000000001"/>
    <n v="12"/>
    <n v="83.2"/>
    <n v="15.58"/>
    <n v="0"/>
    <n v="3.3"/>
    <n v="527681.56000000006"/>
    <n v="63153.05"/>
  </r>
  <r>
    <s v="STR-1057"/>
    <d v="2025-04-01T00:00:00"/>
    <s v="East"/>
    <x v="3"/>
    <n v="39341.449999999997"/>
    <n v="1375"/>
    <n v="9.2999999999999999E-2"/>
    <n v="5"/>
    <n v="95"/>
    <n v="5.32"/>
    <n v="0"/>
    <m/>
    <n v="529598.93999999994"/>
    <n v="84334.33"/>
  </r>
  <r>
    <s v="STR-1058"/>
    <d v="2025-01-01T00:00:00"/>
    <s v="East"/>
    <x v="1"/>
    <n v="37324.230000000003"/>
    <n v="5957"/>
    <n v="7.0999999999999994E-2"/>
    <n v="12"/>
    <n v="85.9"/>
    <n v="0.37"/>
    <n v="0"/>
    <n v="3.8"/>
    <n v="570963.31000000006"/>
    <n v="87342.25"/>
  </r>
  <r>
    <s v="STR-1058"/>
    <d v="2025-02-01T00:00:00"/>
    <s v="East"/>
    <x v="1"/>
    <n v="113736"/>
    <n v="8961"/>
    <n v="0.20200000000000001"/>
    <n v="24"/>
    <n v="86.2"/>
    <n v="21.63"/>
    <n v="0"/>
    <n v="4"/>
    <n v="870937.4"/>
    <n v="175282.74"/>
  </r>
  <r>
    <s v="STR-1058"/>
    <d v="2025-03-01T00:00:00"/>
    <s v="East"/>
    <x v="1"/>
    <n v="33173.949999999997"/>
    <n v="6545"/>
    <n v="0.16900000000000001"/>
    <n v="15"/>
    <n v="84.4"/>
    <n v="2.48"/>
    <n v="0"/>
    <n v="3.9"/>
    <n v="596969.27"/>
    <n v="105669.51"/>
  </r>
  <r>
    <s v="STR-1058"/>
    <d v="2025-04-01T00:00:00"/>
    <s v="East"/>
    <x v="1"/>
    <n v="25818.080000000002"/>
    <n v="5457"/>
    <n v="0"/>
    <n v="11"/>
    <n v="95.4"/>
    <m/>
    <n v="0"/>
    <n v="3.7"/>
    <n v="647512.85"/>
    <n v="153835.57"/>
  </r>
  <r>
    <s v="STR-1059"/>
    <d v="2025-01-01T00:00:00"/>
    <s v="West"/>
    <x v="0"/>
    <n v="47241.919999999998"/>
    <n v="4264"/>
    <n v="6.9000000000000006E-2"/>
    <n v="13"/>
    <n v="95.3"/>
    <n v="0.85"/>
    <n v="0"/>
    <n v="4.3"/>
    <n v="658072.14"/>
    <n v="110595.89"/>
  </r>
  <r>
    <s v="STR-1059"/>
    <d v="2025-02-01T00:00:00"/>
    <s v="West"/>
    <x v="0"/>
    <n v="61650.79"/>
    <n v="5321"/>
    <n v="0.126"/>
    <n v="17"/>
    <n v="89.2"/>
    <n v="2.13"/>
    <n v="0"/>
    <n v="4"/>
    <n v="723305.11"/>
    <n v="128468.7"/>
  </r>
  <r>
    <s v="STR-1059"/>
    <d v="2025-03-01T00:00:00"/>
    <s v="West"/>
    <x v="0"/>
    <n v="62582.71"/>
    <n v="5479"/>
    <n v="4.8000000000000001E-2"/>
    <n v="16"/>
    <n v="81.2"/>
    <n v="1.46"/>
    <n v="0"/>
    <n v="4.5"/>
    <n v="640666.53"/>
    <n v="134919.16"/>
  </r>
  <r>
    <s v="STR-1059"/>
    <d v="2025-04-01T00:00:00"/>
    <s v="West"/>
    <x v="0"/>
    <n v="47944.14"/>
    <n v="6169"/>
    <n v="0.11899999999999999"/>
    <n v="17"/>
    <n v="92.2"/>
    <n v="3.02"/>
    <n v="0"/>
    <n v="4.0999999999999996"/>
    <n v="670629.48"/>
    <n v="100140.8"/>
  </r>
  <r>
    <s v="STR-1060"/>
    <d v="2025-01-01T00:00:00"/>
    <s v="West"/>
    <x v="3"/>
    <n v="46495.4"/>
    <n v="9908"/>
    <n v="0.121"/>
    <n v="22"/>
    <n v="89.4"/>
    <n v="3.22"/>
    <n v="0"/>
    <n v="3.7"/>
    <n v="721079.35"/>
    <n v="115295.05"/>
  </r>
  <r>
    <s v="STR-1060"/>
    <d v="2025-02-01T00:00:00"/>
    <s v="West"/>
    <x v="3"/>
    <n v="72961.95"/>
    <n v="9996"/>
    <n v="0.106"/>
    <n v="22"/>
    <n v="89.1"/>
    <n v="15.66"/>
    <n v="0"/>
    <n v="3.4"/>
    <n v="810355.02"/>
    <n v="131510"/>
  </r>
  <r>
    <s v="STR-1060"/>
    <d v="2025-03-01T00:00:00"/>
    <s v="West"/>
    <x v="3"/>
    <n v="59060.05"/>
    <n v="9702"/>
    <n v="0.20100000000000001"/>
    <n v="23"/>
    <n v="80.900000000000006"/>
    <n v="6.96"/>
    <n v="0"/>
    <n v="3.2"/>
    <n v="761919.25"/>
    <n v="111893.06"/>
  </r>
  <r>
    <s v="STR-1060"/>
    <d v="2025-04-01T00:00:00"/>
    <s v="West"/>
    <x v="3"/>
    <n v="26248.1"/>
    <n v="9314"/>
    <n v="0.186"/>
    <n v="21"/>
    <n v="83.7"/>
    <n v="4.62"/>
    <n v="0"/>
    <n v="3.3"/>
    <n v="737070.18"/>
    <n v="117593.97"/>
  </r>
  <r>
    <s v="STR-1061"/>
    <d v="2025-01-01T00:00:00"/>
    <s v="South"/>
    <x v="2"/>
    <n v="69900.12"/>
    <n v="8055"/>
    <n v="0.28100000000000003"/>
    <n v="22"/>
    <n v="85.6"/>
    <n v="10.68"/>
    <n v="1"/>
    <n v="2.9"/>
    <n v="776992.93"/>
    <n v="101598.32"/>
  </r>
  <r>
    <s v="STR-1061"/>
    <d v="2025-02-01T00:00:00"/>
    <s v="South"/>
    <x v="2"/>
    <n v="51781.599999999999"/>
    <n v="5648"/>
    <n v="5.8999999999999997E-2"/>
    <n v="13"/>
    <n v="85.5"/>
    <n v="4.04"/>
    <n v="0"/>
    <n v="3.7"/>
    <n v="676337.41"/>
    <n v="104355.77"/>
  </r>
  <r>
    <s v="STR-1061"/>
    <d v="2025-03-01T00:00:00"/>
    <s v="South"/>
    <x v="2"/>
    <n v="70799.64"/>
    <n v="10076"/>
    <n v="0.152"/>
    <n v="24"/>
    <n v="84.8"/>
    <n v="1.87"/>
    <n v="0"/>
    <n v="3.5"/>
    <n v="828219.67"/>
    <n v="179806.87"/>
  </r>
  <r>
    <s v="STR-1061"/>
    <d v="2025-04-01T00:00:00"/>
    <s v="South"/>
    <x v="2"/>
    <n v="53546.34"/>
    <n v="8004"/>
    <n v="0"/>
    <n v="21"/>
    <n v="95.2"/>
    <n v="2.83"/>
    <n v="0"/>
    <n v="3"/>
    <n v="763159.92"/>
    <n v="177104.87"/>
  </r>
  <r>
    <s v="STR-1062"/>
    <d v="2025-01-01T00:00:00"/>
    <s v="East"/>
    <x v="1"/>
    <n v="76942.2"/>
    <n v="8934"/>
    <n v="8.4000000000000005E-2"/>
    <n v="20"/>
    <n v="91"/>
    <n v="0.95"/>
    <n v="0"/>
    <n v="3.2"/>
    <n v="802001.68"/>
    <n v="159715.82"/>
  </r>
  <r>
    <s v="STR-1062"/>
    <d v="2025-02-01T00:00:00"/>
    <s v="East"/>
    <x v="1"/>
    <n v="48060.78"/>
    <n v="8733"/>
    <n v="0"/>
    <n v="20"/>
    <n v="89.9"/>
    <n v="0.8"/>
    <n v="0"/>
    <n v="3.4"/>
    <n v="750471.34"/>
    <n v="133788.04"/>
  </r>
  <r>
    <s v="STR-1062"/>
    <d v="2025-03-01T00:00:00"/>
    <s v="East"/>
    <x v="1"/>
    <n v="57390.04"/>
    <n v="7374"/>
    <n v="0.21"/>
    <n v="21"/>
    <n v="91.8"/>
    <n v="0.2"/>
    <n v="0"/>
    <n v="3.1"/>
    <n v="679230.86"/>
    <n v="106927.58"/>
  </r>
  <r>
    <s v="STR-1062"/>
    <d v="2025-04-01T00:00:00"/>
    <s v="East"/>
    <x v="1"/>
    <n v="21536.18"/>
    <n v="8119"/>
    <n v="0.22700000000000001"/>
    <n v="20"/>
    <n v="90.4"/>
    <n v="1.7"/>
    <n v="0"/>
    <n v="3.3"/>
    <n v="679888.74"/>
    <n v="83406.89"/>
  </r>
  <r>
    <s v="STR-1063"/>
    <d v="2025-01-01T00:00:00"/>
    <s v="North"/>
    <x v="1"/>
    <n v="40923.67"/>
    <n v="3875"/>
    <n v="0.15"/>
    <n v="10"/>
    <n v="96.1"/>
    <m/>
    <n v="0"/>
    <n v="3.8"/>
    <n v="606783.67000000004"/>
    <n v="74515.87"/>
  </r>
  <r>
    <s v="STR-1063"/>
    <d v="2025-02-01T00:00:00"/>
    <s v="North"/>
    <x v="1"/>
    <n v="72932.55"/>
    <n v="5765"/>
    <n v="2.5999999999999999E-2"/>
    <n v="17"/>
    <n v="81.8"/>
    <n v="5.0999999999999996"/>
    <n v="0"/>
    <n v="3.6"/>
    <n v="642751.42000000004"/>
    <n v="131942.15"/>
  </r>
  <r>
    <s v="STR-1063"/>
    <d v="2025-03-01T00:00:00"/>
    <s v="North"/>
    <x v="1"/>
    <n v="38361.93"/>
    <n v="6322"/>
    <n v="0.27300000000000002"/>
    <n v="15"/>
    <n v="88.4"/>
    <n v="0.83"/>
    <n v="0"/>
    <n v="4"/>
    <n v="647953.78"/>
    <n v="118497.43"/>
  </r>
  <r>
    <s v="STR-1063"/>
    <d v="2025-04-01T00:00:00"/>
    <s v="North"/>
    <x v="1"/>
    <n v="97480.94"/>
    <n v="6840"/>
    <n v="8.6999999999999994E-2"/>
    <n v="14"/>
    <n v="79.2"/>
    <n v="1.1399999999999999"/>
    <n v="0"/>
    <n v="4"/>
    <n v="729440.45"/>
    <n v="87614.29"/>
  </r>
  <r>
    <s v="STR-1064"/>
    <d v="2025-01-01T00:00:00"/>
    <s v="South"/>
    <x v="2"/>
    <n v="81801.8"/>
    <n v="6782"/>
    <n v="0.05"/>
    <n v="16"/>
    <n v="99"/>
    <n v="9.5399999999999991"/>
    <n v="0"/>
    <n v="3.7"/>
    <n v="764949"/>
    <n v="148322.43"/>
  </r>
  <r>
    <s v="STR-1064"/>
    <d v="2025-02-01T00:00:00"/>
    <s v="South"/>
    <x v="2"/>
    <n v="63582.11"/>
    <n v="6856"/>
    <n v="7.3999999999999996E-2"/>
    <n v="17"/>
    <n v="89.5"/>
    <n v="5.48"/>
    <n v="0"/>
    <n v="3.2"/>
    <n v="799046.94"/>
    <n v="144553.64000000001"/>
  </r>
  <r>
    <s v="STR-1064"/>
    <d v="2025-03-01T00:00:00"/>
    <s v="South"/>
    <x v="2"/>
    <n v="75412.740000000005"/>
    <n v="5641"/>
    <n v="5.8999999999999997E-2"/>
    <n v="13"/>
    <n v="87.9"/>
    <n v="0.84"/>
    <n v="0"/>
    <n v="3.6"/>
    <n v="720079.54"/>
    <n v="119499.47"/>
  </r>
  <r>
    <s v="STR-1064"/>
    <d v="2025-04-01T00:00:00"/>
    <s v="South"/>
    <x v="2"/>
    <n v="36290.080000000002"/>
    <n v="5787"/>
    <n v="0"/>
    <n v="17"/>
    <n v="88.3"/>
    <n v="4.1900000000000004"/>
    <n v="0"/>
    <n v="4.0999999999999996"/>
    <n v="612390.14"/>
    <n v="108985.74"/>
  </r>
  <r>
    <s v="STR-1065"/>
    <d v="2025-01-01T00:00:00"/>
    <s v="South"/>
    <x v="3"/>
    <n v="65272.58"/>
    <n v="8165"/>
    <n v="5.0999999999999997E-2"/>
    <n v="19"/>
    <n v="87.8"/>
    <n v="1.26"/>
    <n v="1"/>
    <n v="4.3"/>
    <n v="840108.12"/>
    <n v="126587.01"/>
  </r>
  <r>
    <s v="STR-1065"/>
    <d v="2025-02-01T00:00:00"/>
    <s v="South"/>
    <x v="3"/>
    <n v="28670.43"/>
    <n v="7574"/>
    <n v="0.114"/>
    <n v="19"/>
    <n v="82.7"/>
    <n v="2.74"/>
    <n v="0"/>
    <n v="4.5999999999999996"/>
    <n v="697888.09"/>
    <n v="116249.87"/>
  </r>
  <r>
    <s v="STR-1065"/>
    <d v="2025-03-01T00:00:00"/>
    <s v="South"/>
    <x v="3"/>
    <n v="44189.34"/>
    <n v="8634"/>
    <n v="0.14299999999999999"/>
    <n v="19"/>
    <n v="87.5"/>
    <n v="3.69"/>
    <n v="0"/>
    <n v="4.4000000000000004"/>
    <n v="746115.59"/>
    <n v="94662.96"/>
  </r>
  <r>
    <s v="STR-1065"/>
    <d v="2025-04-01T00:00:00"/>
    <s v="South"/>
    <x v="3"/>
    <n v="38397.82"/>
    <n v="7836"/>
    <n v="7.0000000000000001E-3"/>
    <n v="21"/>
    <n v="92.2"/>
    <n v="1.82"/>
    <n v="0"/>
    <n v="3.6"/>
    <n v="776110.32"/>
    <n v="139676.21"/>
  </r>
  <r>
    <s v="STR-1066"/>
    <d v="2025-01-01T00:00:00"/>
    <s v="West"/>
    <x v="1"/>
    <n v="14519.37"/>
    <n v="3047"/>
    <n v="0.13500000000000001"/>
    <n v="10"/>
    <n v="90.3"/>
    <n v="6.62"/>
    <n v="0"/>
    <n v="4.2"/>
    <n v="528852.62"/>
    <n v="68426.210000000006"/>
  </r>
  <r>
    <s v="STR-1066"/>
    <d v="2025-02-01T00:00:00"/>
    <s v="West"/>
    <x v="1"/>
    <n v="43288.2"/>
    <n v="4783"/>
    <n v="0.16900000000000001"/>
    <n v="13"/>
    <n v="87.3"/>
    <m/>
    <n v="0"/>
    <n v="4.2"/>
    <n v="605751.32999999996"/>
    <n v="60685.53"/>
  </r>
  <r>
    <s v="STR-1066"/>
    <d v="2025-03-01T00:00:00"/>
    <s v="West"/>
    <x v="1"/>
    <n v="51450.55"/>
    <n v="4902"/>
    <n v="8.5999999999999993E-2"/>
    <n v="11"/>
    <n v="83.7"/>
    <n v="6.92"/>
    <n v="1"/>
    <n v="4.2"/>
    <n v="677640.65"/>
    <n v="111610.89"/>
  </r>
  <r>
    <s v="STR-1066"/>
    <d v="2025-04-01T00:00:00"/>
    <s v="West"/>
    <x v="1"/>
    <n v="58688.26"/>
    <n v="4022"/>
    <n v="0.217"/>
    <n v="12"/>
    <n v="93.8"/>
    <n v="11.78"/>
    <n v="0"/>
    <n v="3.7"/>
    <n v="636613.23"/>
    <n v="78908.350000000006"/>
  </r>
  <r>
    <s v="STR-1067"/>
    <d v="2025-01-01T00:00:00"/>
    <s v="East"/>
    <x v="1"/>
    <n v="58981.91"/>
    <n v="7324"/>
    <n v="9.4E-2"/>
    <n v="15"/>
    <n v="95.8"/>
    <n v="0.5"/>
    <n v="0"/>
    <n v="3.5"/>
    <n v="708985.19"/>
    <n v="125368.16"/>
  </r>
  <r>
    <s v="STR-1067"/>
    <d v="2025-02-01T00:00:00"/>
    <s v="East"/>
    <x v="1"/>
    <n v="73454.539999999994"/>
    <n v="8129"/>
    <n v="0.21099999999999999"/>
    <n v="20"/>
    <n v="85.2"/>
    <n v="0.88"/>
    <n v="0"/>
    <n v="3.7"/>
    <n v="767792.94"/>
    <n v="96235.77"/>
  </r>
  <r>
    <s v="STR-1067"/>
    <d v="2025-03-01T00:00:00"/>
    <s v="East"/>
    <x v="1"/>
    <n v="56602.39"/>
    <n v="7969"/>
    <n v="0.17"/>
    <n v="21"/>
    <n v="88.3"/>
    <n v="2.25"/>
    <n v="0"/>
    <n v="3.7"/>
    <n v="745580.51"/>
    <n v="116273.68"/>
  </r>
  <r>
    <s v="STR-1067"/>
    <d v="2025-04-01T00:00:00"/>
    <s v="East"/>
    <x v="1"/>
    <n v="67722.289999999994"/>
    <n v="7240"/>
    <n v="2.5999999999999999E-2"/>
    <n v="15"/>
    <n v="92.9"/>
    <n v="0.28999999999999998"/>
    <n v="0"/>
    <n v="3.5"/>
    <n v="762328.31"/>
    <n v="159158.19"/>
  </r>
  <r>
    <s v="STR-1068"/>
    <d v="2025-01-01T00:00:00"/>
    <s v="East"/>
    <x v="3"/>
    <n v="48752.92"/>
    <n v="8052"/>
    <n v="0.106"/>
    <n v="16"/>
    <n v="94.9"/>
    <n v="0.65"/>
    <n v="0"/>
    <n v="3.6"/>
    <n v="660633.99"/>
    <n v="118768.66"/>
  </r>
  <r>
    <s v="STR-1068"/>
    <d v="2025-02-01T00:00:00"/>
    <s v="East"/>
    <x v="3"/>
    <n v="23914.97"/>
    <n v="8018"/>
    <n v="0.13900000000000001"/>
    <n v="20"/>
    <n v="89"/>
    <n v="0.2"/>
    <n v="0"/>
    <n v="3.5"/>
    <n v="739374.56"/>
    <n v="121032.29"/>
  </r>
  <r>
    <s v="STR-1068"/>
    <d v="2025-03-01T00:00:00"/>
    <s v="East"/>
    <x v="3"/>
    <n v="61995.3"/>
    <n v="10192"/>
    <n v="0.19800000000000001"/>
    <n v="21"/>
    <n v="87.6"/>
    <n v="3.63"/>
    <n v="1"/>
    <n v="3.8"/>
    <n v="799756.46"/>
    <n v="105052.93"/>
  </r>
  <r>
    <s v="STR-1068"/>
    <d v="2025-04-01T00:00:00"/>
    <s v="East"/>
    <x v="3"/>
    <n v="29344.93"/>
    <n v="7446"/>
    <n v="0.111"/>
    <n v="15"/>
    <n v="86.2"/>
    <n v="0.2"/>
    <n v="0"/>
    <n v="3.2"/>
    <n v="593343"/>
    <n v="82832.240000000005"/>
  </r>
  <r>
    <s v="STR-1069"/>
    <d v="2025-01-01T00:00:00"/>
    <s v="West"/>
    <x v="1"/>
    <n v="50532.17"/>
    <n v="5689"/>
    <n v="5.1999999999999998E-2"/>
    <n v="17"/>
    <n v="85.6"/>
    <n v="6.23"/>
    <n v="0"/>
    <n v="3.3"/>
    <n v="645039.97"/>
    <n v="83093.33"/>
  </r>
  <r>
    <s v="STR-1069"/>
    <d v="2025-02-01T00:00:00"/>
    <s v="West"/>
    <x v="1"/>
    <n v="17562.57"/>
    <n v="3326"/>
    <n v="0.153"/>
    <n v="14"/>
    <n v="88.1"/>
    <n v="1.04"/>
    <n v="0"/>
    <n v="3.1"/>
    <n v="561597.32999999996"/>
    <n v="75072.75"/>
  </r>
  <r>
    <s v="STR-1069"/>
    <d v="2025-03-01T00:00:00"/>
    <s v="West"/>
    <x v="1"/>
    <n v="47648.71"/>
    <n v="5767"/>
    <n v="0.14099999999999999"/>
    <n v="17"/>
    <n v="89.8"/>
    <n v="1.76"/>
    <n v="0"/>
    <n v="3.1"/>
    <n v="635837.74"/>
    <n v="114740.64"/>
  </r>
  <r>
    <s v="STR-1069"/>
    <d v="2025-04-01T00:00:00"/>
    <s v="West"/>
    <x v="1"/>
    <n v="38297.58"/>
    <n v="5893"/>
    <n v="0.247"/>
    <n v="18"/>
    <n v="77.599999999999994"/>
    <n v="2.86"/>
    <n v="0"/>
    <n v="3"/>
    <n v="686737.87"/>
    <n v="83839.67"/>
  </r>
  <r>
    <s v="STR-1070"/>
    <d v="2025-01-01T00:00:00"/>
    <s v="South"/>
    <x v="0"/>
    <n v="61784.11"/>
    <n v="8564"/>
    <n v="0.13"/>
    <n v="17"/>
    <n v="87.4"/>
    <n v="18.14"/>
    <n v="1"/>
    <n v="3.4"/>
    <n v="673076.34"/>
    <n v="93899.76"/>
  </r>
  <r>
    <s v="STR-1070"/>
    <d v="2025-02-01T00:00:00"/>
    <s v="South"/>
    <x v="0"/>
    <n v="36832.33"/>
    <n v="8001"/>
    <n v="0"/>
    <n v="19"/>
    <n v="88.7"/>
    <n v="3.39"/>
    <n v="0"/>
    <n v="4"/>
    <n v="738548.42"/>
    <n v="134282.76999999999"/>
  </r>
  <r>
    <s v="STR-1070"/>
    <d v="2025-03-01T00:00:00"/>
    <s v="South"/>
    <x v="0"/>
    <n v="48609.41"/>
    <n v="9324"/>
    <n v="0.21299999999999999"/>
    <n v="18"/>
    <n v="86.5"/>
    <n v="1.44"/>
    <n v="0"/>
    <n v="3.9"/>
    <n v="756619.77"/>
    <n v="112057.69"/>
  </r>
  <r>
    <s v="STR-1070"/>
    <d v="2025-04-01T00:00:00"/>
    <s v="South"/>
    <x v="0"/>
    <n v="70284.06"/>
    <n v="9109"/>
    <n v="4.0000000000000001E-3"/>
    <n v="23"/>
    <n v="87"/>
    <n v="3.65"/>
    <n v="0"/>
    <n v="3.7"/>
    <n v="761122.42"/>
    <n v="149802.04"/>
  </r>
  <r>
    <s v="STR-1071"/>
    <d v="2025-01-01T00:00:00"/>
    <s v="South"/>
    <x v="1"/>
    <n v="45940.39"/>
    <n v="4022"/>
    <n v="6.9000000000000006E-2"/>
    <n v="10"/>
    <n v="83"/>
    <n v="1.23"/>
    <n v="1"/>
    <n v="3.8"/>
    <n v="524899.56999999995"/>
    <n v="63619.98"/>
  </r>
  <r>
    <s v="STR-1071"/>
    <d v="2025-02-01T00:00:00"/>
    <s v="South"/>
    <x v="1"/>
    <n v="34771.26"/>
    <n v="4355"/>
    <n v="5.0999999999999997E-2"/>
    <n v="15"/>
    <n v="87.9"/>
    <n v="3.09"/>
    <n v="0"/>
    <n v="4"/>
    <n v="555557.77"/>
    <n v="86475.51"/>
  </r>
  <r>
    <s v="STR-1071"/>
    <d v="2025-03-01T00:00:00"/>
    <s v="South"/>
    <x v="1"/>
    <n v="66104.19"/>
    <n v="5745"/>
    <n v="7.0000000000000007E-2"/>
    <n v="17"/>
    <n v="95.8"/>
    <n v="3.15"/>
    <n v="0"/>
    <n v="4"/>
    <n v="714083.68"/>
    <n v="127231.74"/>
  </r>
  <r>
    <s v="STR-1071"/>
    <d v="2025-04-01T00:00:00"/>
    <s v="South"/>
    <x v="1"/>
    <n v="18599.21"/>
    <n v="3027"/>
    <n v="0.122"/>
    <n v="11"/>
    <n v="80.900000000000006"/>
    <n v="6.44"/>
    <n v="0"/>
    <n v="4.2"/>
    <n v="497439.82"/>
    <n v="93372.75"/>
  </r>
  <r>
    <s v="STR-1072"/>
    <d v="2025-01-01T00:00:00"/>
    <s v="West"/>
    <x v="0"/>
    <n v="60183.06"/>
    <n v="5562"/>
    <n v="8.9999999999999993E-3"/>
    <n v="13"/>
    <n v="86.3"/>
    <n v="0.2"/>
    <n v="1"/>
    <n v="4.5"/>
    <n v="636775.66"/>
    <n v="122636.86"/>
  </r>
  <r>
    <s v="STR-1072"/>
    <d v="2025-02-01T00:00:00"/>
    <s v="West"/>
    <x v="0"/>
    <n v="74539.14"/>
    <n v="4487"/>
    <n v="0.14000000000000001"/>
    <n v="10"/>
    <n v="90.4"/>
    <n v="0.59"/>
    <n v="0"/>
    <n v="4.5"/>
    <n v="633009.53"/>
    <n v="123782.67"/>
  </r>
  <r>
    <s v="STR-1072"/>
    <d v="2025-03-01T00:00:00"/>
    <s v="West"/>
    <x v="0"/>
    <n v="55371.97"/>
    <n v="4162"/>
    <n v="0.183"/>
    <n v="11"/>
    <n v="92"/>
    <n v="0.2"/>
    <n v="1"/>
    <n v="4.2"/>
    <n v="609949"/>
    <n v="126789.25"/>
  </r>
  <r>
    <s v="STR-1072"/>
    <d v="2025-04-01T00:00:00"/>
    <s v="West"/>
    <x v="0"/>
    <n v="40928.69"/>
    <n v="4094"/>
    <n v="0.17399999999999999"/>
    <n v="13"/>
    <n v="82.4"/>
    <n v="1.36"/>
    <n v="0"/>
    <n v="4.8"/>
    <n v="548103.69999999995"/>
    <n v="99905.52"/>
  </r>
  <r>
    <s v="STR-1073"/>
    <d v="2025-01-01T00:00:00"/>
    <s v="East"/>
    <x v="0"/>
    <n v="70012.41"/>
    <n v="8484"/>
    <n v="0.27300000000000002"/>
    <n v="23"/>
    <n v="72.900000000000006"/>
    <n v="3.34"/>
    <n v="0"/>
    <n v="3.7"/>
    <n v="729424.42"/>
    <n v="75592.28"/>
  </r>
  <r>
    <s v="STR-1073"/>
    <d v="2025-02-01T00:00:00"/>
    <s v="East"/>
    <x v="0"/>
    <n v="68909.259999999995"/>
    <n v="7794"/>
    <n v="0.28399999999999997"/>
    <n v="22"/>
    <n v="89"/>
    <n v="0.33"/>
    <n v="0"/>
    <n v="4"/>
    <n v="696261.49"/>
    <n v="72455.350000000006"/>
  </r>
  <r>
    <s v="STR-1073"/>
    <d v="2025-03-01T00:00:00"/>
    <s v="East"/>
    <x v="0"/>
    <n v="56737.3"/>
    <n v="8300"/>
    <n v="3.2000000000000001E-2"/>
    <n v="21"/>
    <n v="83.2"/>
    <n v="3.44"/>
    <n v="1"/>
    <n v="4.3"/>
    <n v="813316.71"/>
    <n v="110077.42"/>
  </r>
  <r>
    <s v="STR-1073"/>
    <d v="2025-04-01T00:00:00"/>
    <s v="East"/>
    <x v="0"/>
    <n v="54080.91"/>
    <n v="7083"/>
    <n v="0"/>
    <n v="15"/>
    <n v="97"/>
    <n v="5.33"/>
    <n v="0"/>
    <n v="4.0999999999999996"/>
    <n v="702068.92"/>
    <n v="111266.63"/>
  </r>
  <r>
    <s v="STR-1074"/>
    <d v="2025-01-01T00:00:00"/>
    <s v="West"/>
    <x v="1"/>
    <n v="51996.32"/>
    <n v="3834"/>
    <n v="9.6000000000000002E-2"/>
    <n v="8"/>
    <n v="86.7"/>
    <n v="6.04"/>
    <n v="0"/>
    <n v="4.5"/>
    <n v="546223.69999999995"/>
    <n v="100769.17"/>
  </r>
  <r>
    <s v="STR-1074"/>
    <d v="2025-02-01T00:00:00"/>
    <s v="West"/>
    <x v="1"/>
    <n v="40102.879999999997"/>
    <n v="2358"/>
    <n v="0.11899999999999999"/>
    <n v="9"/>
    <n v="88.7"/>
    <n v="1.6"/>
    <n v="0"/>
    <n v="4.2"/>
    <n v="533121.26"/>
    <n v="55063.39"/>
  </r>
  <r>
    <s v="STR-1074"/>
    <d v="2025-03-01T00:00:00"/>
    <s v="West"/>
    <x v="1"/>
    <n v="59825.51"/>
    <n v="1231"/>
    <n v="0.214"/>
    <n v="10"/>
    <n v="84.8"/>
    <n v="8.9600000000000009"/>
    <n v="0"/>
    <n v="4.7"/>
    <n v="498970.32"/>
    <n v="69656.7"/>
  </r>
  <r>
    <s v="STR-1074"/>
    <d v="2025-04-01T00:00:00"/>
    <s v="West"/>
    <x v="1"/>
    <n v="27398.28"/>
    <n v="1723"/>
    <n v="0.17100000000000001"/>
    <n v="9"/>
    <n v="81"/>
    <n v="0.74"/>
    <n v="0"/>
    <n v="4.5999999999999996"/>
    <n v="487738.26"/>
    <n v="96435.6"/>
  </r>
  <r>
    <s v="STR-1075"/>
    <d v="2025-01-01T00:00:00"/>
    <s v="West"/>
    <x v="1"/>
    <n v="55599.56"/>
    <n v="5896"/>
    <n v="3.5999999999999997E-2"/>
    <n v="12"/>
    <n v="93.1"/>
    <n v="6.13"/>
    <n v="0"/>
    <n v="3.3"/>
    <n v="668459.37"/>
    <n v="126435.42"/>
  </r>
  <r>
    <s v="STR-1075"/>
    <d v="2025-02-01T00:00:00"/>
    <s v="West"/>
    <x v="1"/>
    <n v="55477.61"/>
    <n v="5903"/>
    <n v="0.10199999999999999"/>
    <n v="14"/>
    <n v="96.2"/>
    <n v="1.41"/>
    <n v="0"/>
    <n v="3.3"/>
    <n v="763162.45"/>
    <n v="162524.04999999999"/>
  </r>
  <r>
    <s v="STR-1075"/>
    <d v="2025-03-01T00:00:00"/>
    <s v="West"/>
    <x v="1"/>
    <n v="46174.7"/>
    <n v="4898"/>
    <n v="0.114"/>
    <n v="11"/>
    <n v="91.7"/>
    <n v="3.75"/>
    <n v="0"/>
    <n v="3.1"/>
    <n v="599017.32999999996"/>
    <n v="134009.92000000001"/>
  </r>
  <r>
    <s v="STR-1075"/>
    <d v="2025-04-01T00:00:00"/>
    <s v="West"/>
    <x v="1"/>
    <n v="24362.98"/>
    <n v="1462"/>
    <n v="0.11700000000000001"/>
    <n v="6"/>
    <n v="89.3"/>
    <n v="15.06"/>
    <n v="0"/>
    <n v="3.2"/>
    <n v="401582.58"/>
    <n v="68454.929999999993"/>
  </r>
  <r>
    <s v="STR-1076"/>
    <d v="2025-01-01T00:00:00"/>
    <s v="North"/>
    <x v="3"/>
    <n v="40647.67"/>
    <n v="8252"/>
    <n v="0.14099999999999999"/>
    <n v="22"/>
    <n v="88.2"/>
    <n v="5.07"/>
    <n v="1"/>
    <n v="4.0999999999999996"/>
    <n v="703812.99"/>
    <n v="133577.98000000001"/>
  </r>
  <r>
    <s v="STR-1076"/>
    <d v="2025-02-01T00:00:00"/>
    <s v="North"/>
    <x v="3"/>
    <n v="63986.98"/>
    <n v="7989"/>
    <n v="7.3999999999999996E-2"/>
    <n v="20"/>
    <n v="83.3"/>
    <n v="3.6"/>
    <n v="0"/>
    <n v="3.7"/>
    <n v="724346.73"/>
    <n v="155013.91"/>
  </r>
  <r>
    <s v="STR-1076"/>
    <d v="2025-03-01T00:00:00"/>
    <s v="North"/>
    <x v="3"/>
    <n v="52843.75"/>
    <n v="8268"/>
    <n v="0.13800000000000001"/>
    <n v="19"/>
    <n v="87.3"/>
    <n v="4.3899999999999997"/>
    <n v="1"/>
    <n v="4.7"/>
    <n v="730890.01"/>
    <n v="105502.56"/>
  </r>
  <r>
    <s v="STR-1076"/>
    <d v="2025-04-01T00:00:00"/>
    <s v="North"/>
    <x v="3"/>
    <n v="31997.25"/>
    <n v="8183"/>
    <n v="0.19800000000000001"/>
    <n v="18"/>
    <n v="93"/>
    <n v="2.79"/>
    <n v="0"/>
    <n v="4.2"/>
    <n v="780580.95"/>
    <n v="138144.46"/>
  </r>
  <r>
    <s v="STR-1077"/>
    <d v="2025-01-01T00:00:00"/>
    <s v="South"/>
    <x v="0"/>
    <n v="54948.02"/>
    <n v="6534"/>
    <n v="0.183"/>
    <n v="14"/>
    <n v="94.5"/>
    <n v="1.56"/>
    <n v="0"/>
    <n v="4"/>
    <n v="727957.48"/>
    <n v="74805.23"/>
  </r>
  <r>
    <s v="STR-1077"/>
    <d v="2025-02-01T00:00:00"/>
    <s v="South"/>
    <x v="0"/>
    <n v="46146.239999999998"/>
    <n v="5804"/>
    <n v="4.7E-2"/>
    <n v="16"/>
    <n v="86.9"/>
    <n v="15.82"/>
    <n v="0"/>
    <n v="3.8"/>
    <n v="538376"/>
    <n v="87605.62"/>
  </r>
  <r>
    <s v="STR-1077"/>
    <d v="2025-03-01T00:00:00"/>
    <s v="South"/>
    <x v="0"/>
    <n v="22387.26"/>
    <n v="6301"/>
    <n v="0.14599999999999999"/>
    <n v="14"/>
    <n v="85.9"/>
    <n v="1.17"/>
    <n v="1"/>
    <n v="3.7"/>
    <n v="665342.49"/>
    <n v="93441.81"/>
  </r>
  <r>
    <s v="STR-1077"/>
    <d v="2025-04-01T00:00:00"/>
    <s v="South"/>
    <x v="0"/>
    <n v="60684.05"/>
    <n v="6399"/>
    <n v="7.4999999999999997E-2"/>
    <n v="16"/>
    <n v="99"/>
    <n v="3.82"/>
    <n v="0"/>
    <n v="3.5"/>
    <n v="651164.18000000005"/>
    <n v="109466.5"/>
  </r>
  <r>
    <s v="STR-1078"/>
    <d v="2025-01-01T00:00:00"/>
    <s v="South"/>
    <x v="1"/>
    <n v="48465.599999999999"/>
    <n v="5759"/>
    <n v="0.154"/>
    <n v="13"/>
    <n v="87.5"/>
    <n v="4.1399999999999997"/>
    <n v="0"/>
    <n v="4"/>
    <n v="628538.30000000005"/>
    <n v="112509.15"/>
  </r>
  <r>
    <s v="STR-1078"/>
    <d v="2025-02-01T00:00:00"/>
    <s v="South"/>
    <x v="1"/>
    <n v="23702.38"/>
    <n v="5285"/>
    <n v="0.16700000000000001"/>
    <n v="14"/>
    <n v="79.7"/>
    <n v="1.1000000000000001"/>
    <n v="0"/>
    <n v="4.3"/>
    <n v="536524.84"/>
    <n v="92752.94"/>
  </r>
  <r>
    <s v="STR-1078"/>
    <d v="2025-03-01T00:00:00"/>
    <s v="South"/>
    <x v="1"/>
    <n v="54322.94"/>
    <n v="5434"/>
    <n v="0.2"/>
    <n v="13"/>
    <n v="85.7"/>
    <n v="10.6"/>
    <n v="0"/>
    <n v="4.2"/>
    <n v="621677.30000000005"/>
    <n v="105192.52"/>
  </r>
  <r>
    <s v="STR-1078"/>
    <d v="2025-04-01T00:00:00"/>
    <s v="South"/>
    <x v="1"/>
    <n v="86026.58"/>
    <n v="7479"/>
    <n v="0.14199999999999999"/>
    <n v="20"/>
    <n v="89"/>
    <n v="0.9"/>
    <n v="0"/>
    <m/>
    <n v="771129.07"/>
    <n v="116851.13"/>
  </r>
  <r>
    <s v="STR-1079"/>
    <d v="2025-01-01T00:00:00"/>
    <s v="North"/>
    <x v="0"/>
    <n v="78967.520000000004"/>
    <n v="6164"/>
    <n v="2.1000000000000001E-2"/>
    <n v="16"/>
    <n v="85.5"/>
    <n v="0.2"/>
    <n v="0"/>
    <n v="3.4"/>
    <n v="702052.47"/>
    <n v="121732.51"/>
  </r>
  <r>
    <s v="STR-1079"/>
    <d v="2025-02-01T00:00:00"/>
    <s v="North"/>
    <x v="0"/>
    <n v="46767.99"/>
    <n v="7973"/>
    <n v="0.183"/>
    <n v="18"/>
    <n v="94.8"/>
    <n v="4.67"/>
    <n v="0"/>
    <m/>
    <n v="688368.46"/>
    <n v="93588.42"/>
  </r>
  <r>
    <s v="STR-1079"/>
    <d v="2025-03-01T00:00:00"/>
    <s v="North"/>
    <x v="0"/>
    <n v="62507.16"/>
    <n v="6000"/>
    <n v="9.0999999999999998E-2"/>
    <n v="14"/>
    <n v="98.2"/>
    <n v="4.38"/>
    <n v="1"/>
    <n v="3.9"/>
    <n v="712375.77"/>
    <n v="104171.53"/>
  </r>
  <r>
    <s v="STR-1079"/>
    <d v="2025-04-01T00:00:00"/>
    <s v="North"/>
    <x v="0"/>
    <n v="66456.28"/>
    <n v="9967"/>
    <n v="0.108"/>
    <n v="20"/>
    <n v="94.7"/>
    <n v="4.4800000000000004"/>
    <n v="0"/>
    <n v="4.2"/>
    <n v="844710.67"/>
    <n v="137140.18"/>
  </r>
  <r>
    <s v="STR-1080"/>
    <d v="2025-01-01T00:00:00"/>
    <s v="East"/>
    <x v="0"/>
    <n v="76614.320000000007"/>
    <n v="5639"/>
    <n v="0.17399999999999999"/>
    <n v="15"/>
    <n v="92.9"/>
    <n v="1.02"/>
    <n v="1"/>
    <n v="4"/>
    <n v="620264.19999999995"/>
    <n v="91365.64"/>
  </r>
  <r>
    <s v="STR-1080"/>
    <d v="2025-02-01T00:00:00"/>
    <s v="East"/>
    <x v="0"/>
    <n v="24088.06"/>
    <n v="3466"/>
    <n v="0"/>
    <n v="11"/>
    <n v="88"/>
    <n v="0.2"/>
    <n v="0"/>
    <n v="3.8"/>
    <n v="536845.42000000004"/>
    <n v="107473.75"/>
  </r>
  <r>
    <s v="STR-1080"/>
    <d v="2025-03-01T00:00:00"/>
    <s v="East"/>
    <x v="0"/>
    <n v="81902.58"/>
    <n v="7775"/>
    <n v="0.215"/>
    <n v="20"/>
    <n v="85.2"/>
    <n v="4.8899999999999997"/>
    <n v="1"/>
    <n v="4.2"/>
    <n v="726776.22"/>
    <n v="90804.49"/>
  </r>
  <r>
    <s v="STR-1080"/>
    <d v="2025-04-01T00:00:00"/>
    <s v="East"/>
    <x v="0"/>
    <n v="40553.11"/>
    <n v="5317"/>
    <n v="0.16500000000000001"/>
    <n v="17"/>
    <n v="84.3"/>
    <n v="11.82"/>
    <n v="0"/>
    <n v="4.0999999999999996"/>
    <n v="559660.84"/>
    <n v="71443.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3B81EB-D5F6-479A-A744-231599DC1878}" name="PivotTable1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8" firstHeaderRow="1" firstDataRow="1" firstDataCol="1"/>
  <pivotFields count="14">
    <pivotField showAll="0"/>
    <pivotField numFmtId="164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B67FB4-4448-432E-9843-C37B909FA0C0}" name="PivotTable1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0:A15" firstHeaderRow="1" firstDataRow="1" firstDataCol="1"/>
  <pivotFields count="14">
    <pivotField showAll="0"/>
    <pivotField numFmtId="164"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1C51F-6886-46D4-B63F-DA61F27E2B12}">
  <dimension ref="A1:N321"/>
  <sheetViews>
    <sheetView workbookViewId="0">
      <selection sqref="A1:XFD1048576"/>
    </sheetView>
  </sheetViews>
  <sheetFormatPr defaultRowHeight="14.5"/>
  <cols>
    <col min="1" max="14" width="17.453125" customWidth="1"/>
  </cols>
  <sheetData>
    <row r="1" spans="1:14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45658</v>
      </c>
      <c r="C2" s="2" t="s">
        <v>15</v>
      </c>
      <c r="D2" s="2" t="s">
        <v>16</v>
      </c>
      <c r="E2" s="2">
        <v>70389.11</v>
      </c>
      <c r="F2" s="2">
        <v>8302</v>
      </c>
      <c r="G2" s="2">
        <v>4.2000000000000003E-2</v>
      </c>
      <c r="H2" s="2">
        <v>17</v>
      </c>
      <c r="I2" s="2">
        <v>75</v>
      </c>
      <c r="J2" s="2">
        <v>5.28</v>
      </c>
      <c r="K2" s="2">
        <v>1</v>
      </c>
      <c r="L2" s="2">
        <v>3.1</v>
      </c>
      <c r="M2" s="2">
        <v>658832.62</v>
      </c>
      <c r="N2" s="2">
        <v>84349.93</v>
      </c>
    </row>
    <row r="3" spans="1:14">
      <c r="A3" s="2" t="s">
        <v>14</v>
      </c>
      <c r="B3" s="3">
        <v>45689</v>
      </c>
      <c r="C3" s="2" t="s">
        <v>15</v>
      </c>
      <c r="D3" s="2" t="s">
        <v>16</v>
      </c>
      <c r="E3" s="2">
        <v>43827.89</v>
      </c>
      <c r="F3" s="2">
        <v>8487</v>
      </c>
      <c r="G3" s="2">
        <v>0.16800000000000001</v>
      </c>
      <c r="H3" s="2">
        <v>23</v>
      </c>
      <c r="I3" s="2">
        <v>84.4</v>
      </c>
      <c r="J3" s="2">
        <v>4.3099999999999996</v>
      </c>
      <c r="K3" s="2">
        <v>0</v>
      </c>
      <c r="L3" s="2">
        <v>2.8</v>
      </c>
      <c r="M3" s="2">
        <v>634436</v>
      </c>
      <c r="N3" s="2">
        <v>106130.54</v>
      </c>
    </row>
    <row r="4" spans="1:14">
      <c r="A4" s="2" t="s">
        <v>14</v>
      </c>
      <c r="B4" s="3">
        <v>45717</v>
      </c>
      <c r="C4" s="2" t="s">
        <v>15</v>
      </c>
      <c r="D4" s="2" t="s">
        <v>16</v>
      </c>
      <c r="E4" s="2">
        <v>59921.75</v>
      </c>
      <c r="F4" s="2">
        <v>9113</v>
      </c>
      <c r="G4" s="2">
        <v>0.13300000000000001</v>
      </c>
      <c r="H4" s="2">
        <v>20</v>
      </c>
      <c r="I4" s="2">
        <v>88</v>
      </c>
      <c r="J4" s="2">
        <v>12</v>
      </c>
      <c r="K4" s="2">
        <v>0</v>
      </c>
      <c r="L4" s="2">
        <v>3.2</v>
      </c>
      <c r="M4" s="2">
        <v>678722.06</v>
      </c>
      <c r="N4" s="2">
        <v>101883.86</v>
      </c>
    </row>
    <row r="5" spans="1:14">
      <c r="A5" s="2" t="s">
        <v>14</v>
      </c>
      <c r="B5" s="3">
        <v>45748</v>
      </c>
      <c r="C5" s="2" t="s">
        <v>15</v>
      </c>
      <c r="D5" s="2" t="s">
        <v>16</v>
      </c>
      <c r="E5" s="2">
        <v>56856.63</v>
      </c>
      <c r="F5" s="2">
        <v>9431</v>
      </c>
      <c r="G5" s="2">
        <v>0.14199999999999999</v>
      </c>
      <c r="H5" s="2">
        <v>23</v>
      </c>
      <c r="I5" s="2">
        <v>86.9</v>
      </c>
      <c r="J5" s="2">
        <v>4.97</v>
      </c>
      <c r="K5" s="2">
        <v>0</v>
      </c>
      <c r="L5" s="2">
        <v>3.4</v>
      </c>
      <c r="M5" s="2">
        <v>658920.30000000005</v>
      </c>
      <c r="N5" s="2">
        <v>97910.37</v>
      </c>
    </row>
    <row r="6" spans="1:14">
      <c r="A6" s="2" t="s">
        <v>17</v>
      </c>
      <c r="B6" s="3">
        <v>45658</v>
      </c>
      <c r="C6" s="2" t="s">
        <v>15</v>
      </c>
      <c r="D6" s="2" t="s">
        <v>18</v>
      </c>
      <c r="E6" s="2">
        <v>48412.639999999999</v>
      </c>
      <c r="F6" s="2">
        <v>9545</v>
      </c>
      <c r="G6" s="2">
        <v>0.23100000000000001</v>
      </c>
      <c r="H6" s="2">
        <v>21</v>
      </c>
      <c r="I6" s="2">
        <v>97.6</v>
      </c>
      <c r="J6" s="2">
        <v>6.94</v>
      </c>
      <c r="K6" s="2">
        <v>1</v>
      </c>
      <c r="L6" s="2">
        <v>4.2</v>
      </c>
      <c r="M6" s="2">
        <v>741341.44</v>
      </c>
      <c r="N6" s="2">
        <v>119208.17</v>
      </c>
    </row>
    <row r="7" spans="1:14">
      <c r="A7" s="2" t="s">
        <v>17</v>
      </c>
      <c r="B7" s="3">
        <v>45689</v>
      </c>
      <c r="C7" s="2" t="s">
        <v>15</v>
      </c>
      <c r="D7" s="2" t="s">
        <v>18</v>
      </c>
      <c r="E7" s="2">
        <v>64811.21</v>
      </c>
      <c r="F7" s="2">
        <v>9792</v>
      </c>
      <c r="G7" s="2">
        <v>0.112</v>
      </c>
      <c r="H7" s="2">
        <v>20</v>
      </c>
      <c r="I7" s="2">
        <v>84.2</v>
      </c>
      <c r="J7" s="2">
        <v>2.88</v>
      </c>
      <c r="K7" s="2">
        <v>0</v>
      </c>
      <c r="L7" s="2">
        <v>4.2</v>
      </c>
      <c r="M7" s="2">
        <v>761835.34</v>
      </c>
      <c r="N7" s="2">
        <v>149602.23000000001</v>
      </c>
    </row>
    <row r="8" spans="1:14">
      <c r="A8" s="2" t="s">
        <v>17</v>
      </c>
      <c r="B8" s="3">
        <v>45717</v>
      </c>
      <c r="C8" s="2" t="s">
        <v>15</v>
      </c>
      <c r="D8" s="2" t="s">
        <v>18</v>
      </c>
      <c r="E8" s="2">
        <v>46213.45</v>
      </c>
      <c r="F8" s="2">
        <v>10616</v>
      </c>
      <c r="G8" s="2">
        <v>0.122</v>
      </c>
      <c r="H8" s="2">
        <v>22</v>
      </c>
      <c r="I8" s="2">
        <v>85.2</v>
      </c>
      <c r="J8" s="2">
        <v>0.2</v>
      </c>
      <c r="K8" s="2">
        <v>1</v>
      </c>
      <c r="L8" s="2">
        <v>4.0999999999999996</v>
      </c>
      <c r="M8" s="2">
        <v>806615.54</v>
      </c>
      <c r="N8" s="2">
        <v>131364.62</v>
      </c>
    </row>
    <row r="9" spans="1:14">
      <c r="A9" s="2" t="s">
        <v>17</v>
      </c>
      <c r="B9" s="3">
        <v>45748</v>
      </c>
      <c r="C9" s="2" t="s">
        <v>15</v>
      </c>
      <c r="D9" s="2" t="s">
        <v>18</v>
      </c>
      <c r="E9" s="2">
        <v>68148.52</v>
      </c>
      <c r="F9" s="2">
        <v>8567</v>
      </c>
      <c r="G9" s="2">
        <v>0.127</v>
      </c>
      <c r="H9" s="2">
        <v>23</v>
      </c>
      <c r="I9" s="2">
        <v>95.6</v>
      </c>
      <c r="J9" s="2">
        <v>0.8</v>
      </c>
      <c r="K9" s="2">
        <v>0</v>
      </c>
      <c r="L9" s="2">
        <v>3.9</v>
      </c>
      <c r="M9" s="2">
        <v>850164.26</v>
      </c>
      <c r="N9" s="2">
        <v>149262.75</v>
      </c>
    </row>
    <row r="10" spans="1:14">
      <c r="A10" s="2" t="s">
        <v>19</v>
      </c>
      <c r="B10" s="3">
        <v>45658</v>
      </c>
      <c r="C10" s="2" t="s">
        <v>20</v>
      </c>
      <c r="D10" s="2" t="s">
        <v>21</v>
      </c>
      <c r="E10" s="2">
        <v>71838.86</v>
      </c>
      <c r="F10" s="2">
        <v>10979</v>
      </c>
      <c r="G10" s="2">
        <v>0.215</v>
      </c>
      <c r="H10" s="2">
        <v>26</v>
      </c>
      <c r="I10" s="2">
        <v>88.6</v>
      </c>
      <c r="J10" s="2">
        <v>7.7</v>
      </c>
      <c r="K10" s="2">
        <v>1</v>
      </c>
      <c r="L10" s="2">
        <v>3.8</v>
      </c>
      <c r="M10" s="2">
        <v>930581.7</v>
      </c>
      <c r="N10" s="2">
        <v>136207.98000000001</v>
      </c>
    </row>
    <row r="11" spans="1:14">
      <c r="A11" s="2" t="s">
        <v>19</v>
      </c>
      <c r="B11" s="3">
        <v>45689</v>
      </c>
      <c r="C11" s="2" t="s">
        <v>20</v>
      </c>
      <c r="D11" s="2" t="s">
        <v>21</v>
      </c>
      <c r="E11" s="2">
        <v>68133.440000000002</v>
      </c>
      <c r="F11" s="2">
        <v>9459</v>
      </c>
      <c r="G11" s="2">
        <v>0.22</v>
      </c>
      <c r="H11" s="2">
        <v>21</v>
      </c>
      <c r="I11" s="2">
        <v>85</v>
      </c>
      <c r="J11" s="2">
        <v>1.91</v>
      </c>
      <c r="K11" s="2">
        <v>0</v>
      </c>
      <c r="L11" s="2">
        <v>4.2</v>
      </c>
      <c r="M11" s="2">
        <v>779010.94</v>
      </c>
      <c r="N11" s="2">
        <v>106328.09</v>
      </c>
    </row>
    <row r="12" spans="1:14">
      <c r="A12" s="2" t="s">
        <v>19</v>
      </c>
      <c r="B12" s="3">
        <v>45717</v>
      </c>
      <c r="C12" s="2" t="s">
        <v>20</v>
      </c>
      <c r="D12" s="2" t="s">
        <v>21</v>
      </c>
      <c r="E12" s="2">
        <v>34285.21</v>
      </c>
      <c r="F12" s="2">
        <v>9172</v>
      </c>
      <c r="G12" s="2">
        <v>0.21299999999999999</v>
      </c>
      <c r="H12" s="2">
        <v>22</v>
      </c>
      <c r="I12" s="2">
        <v>88.3</v>
      </c>
      <c r="J12" s="2">
        <v>10.46</v>
      </c>
      <c r="K12" s="2">
        <v>1</v>
      </c>
      <c r="L12" s="2">
        <v>3.8</v>
      </c>
      <c r="M12" s="2">
        <v>723060.76</v>
      </c>
      <c r="N12" s="2">
        <v>123131.24</v>
      </c>
    </row>
    <row r="13" spans="1:14">
      <c r="A13" s="2" t="s">
        <v>19</v>
      </c>
      <c r="B13" s="3">
        <v>45748</v>
      </c>
      <c r="C13" s="2" t="s">
        <v>20</v>
      </c>
      <c r="D13" s="2" t="s">
        <v>21</v>
      </c>
      <c r="E13" s="2">
        <v>67979.88</v>
      </c>
      <c r="F13" s="2">
        <v>11230</v>
      </c>
      <c r="G13" s="2">
        <v>2E-3</v>
      </c>
      <c r="H13" s="2">
        <v>28</v>
      </c>
      <c r="I13" s="2">
        <v>85.3</v>
      </c>
      <c r="J13" s="2">
        <v>7.16</v>
      </c>
      <c r="K13" s="2">
        <v>0</v>
      </c>
      <c r="L13" s="2">
        <v>3.8</v>
      </c>
      <c r="M13" s="2">
        <v>910791.94</v>
      </c>
      <c r="N13" s="2">
        <v>158891.28</v>
      </c>
    </row>
    <row r="14" spans="1:14">
      <c r="A14" s="2" t="s">
        <v>22</v>
      </c>
      <c r="B14" s="3">
        <v>45658</v>
      </c>
      <c r="C14" s="2" t="s">
        <v>15</v>
      </c>
      <c r="D14" s="2" t="s">
        <v>16</v>
      </c>
      <c r="E14" s="2">
        <v>71828.259999999995</v>
      </c>
      <c r="F14" s="2">
        <v>12775</v>
      </c>
      <c r="G14" s="2">
        <v>0.11600000000000001</v>
      </c>
      <c r="H14" s="2">
        <v>30</v>
      </c>
      <c r="I14" s="2">
        <v>81.7</v>
      </c>
      <c r="J14" s="2">
        <v>4.24</v>
      </c>
      <c r="K14" s="2">
        <v>1</v>
      </c>
      <c r="L14" s="2">
        <v>4.2</v>
      </c>
      <c r="M14" s="2">
        <v>922168.6</v>
      </c>
      <c r="N14" s="2">
        <v>107494.53</v>
      </c>
    </row>
    <row r="15" spans="1:14">
      <c r="A15" s="2" t="s">
        <v>22</v>
      </c>
      <c r="B15" s="3">
        <v>45689</v>
      </c>
      <c r="C15" s="2" t="s">
        <v>15</v>
      </c>
      <c r="D15" s="2" t="s">
        <v>16</v>
      </c>
      <c r="E15" s="2">
        <v>55716.82</v>
      </c>
      <c r="F15" s="2">
        <v>10054</v>
      </c>
      <c r="G15" s="2">
        <v>0.14599999999999999</v>
      </c>
      <c r="H15" s="2">
        <v>24</v>
      </c>
      <c r="I15" s="2">
        <v>84.9</v>
      </c>
      <c r="J15" s="2">
        <v>1.06</v>
      </c>
      <c r="K15" s="2">
        <v>0</v>
      </c>
      <c r="L15" s="2">
        <v>4.3</v>
      </c>
      <c r="M15" s="2">
        <v>726606.28</v>
      </c>
      <c r="N15" s="2">
        <v>122729.29</v>
      </c>
    </row>
    <row r="16" spans="1:14">
      <c r="A16" s="2" t="s">
        <v>22</v>
      </c>
      <c r="B16" s="3">
        <v>45717</v>
      </c>
      <c r="C16" s="2" t="s">
        <v>15</v>
      </c>
      <c r="D16" s="2" t="s">
        <v>16</v>
      </c>
      <c r="E16" s="2">
        <v>59909.51</v>
      </c>
      <c r="F16" s="2">
        <v>8895</v>
      </c>
      <c r="G16" s="2">
        <v>0.22800000000000001</v>
      </c>
      <c r="H16" s="2">
        <v>23</v>
      </c>
      <c r="I16" s="2">
        <v>88.8</v>
      </c>
      <c r="J16" s="2">
        <v>0.27</v>
      </c>
      <c r="K16" s="2">
        <v>0</v>
      </c>
      <c r="L16" s="2">
        <v>4.3</v>
      </c>
      <c r="M16" s="2">
        <v>746501.09</v>
      </c>
      <c r="N16" s="2">
        <v>136816.72</v>
      </c>
    </row>
    <row r="17" spans="1:14">
      <c r="A17" s="2" t="s">
        <v>22</v>
      </c>
      <c r="B17" s="3">
        <v>45748</v>
      </c>
      <c r="C17" s="2" t="s">
        <v>15</v>
      </c>
      <c r="D17" s="2" t="s">
        <v>16</v>
      </c>
      <c r="E17" s="2">
        <v>75305.710000000006</v>
      </c>
      <c r="F17" s="2">
        <v>10940</v>
      </c>
      <c r="G17" s="2">
        <v>6.0000000000000001E-3</v>
      </c>
      <c r="H17" s="2">
        <v>26</v>
      </c>
      <c r="I17" s="2">
        <v>76.5</v>
      </c>
      <c r="J17" s="2">
        <v>1.32</v>
      </c>
      <c r="K17" s="2">
        <v>0</v>
      </c>
      <c r="L17" s="2">
        <v>4.5</v>
      </c>
      <c r="M17" s="2">
        <v>834017.02</v>
      </c>
      <c r="N17" s="2">
        <v>114745.03</v>
      </c>
    </row>
    <row r="18" spans="1:14">
      <c r="A18" s="2" t="s">
        <v>23</v>
      </c>
      <c r="B18" s="3">
        <v>45658</v>
      </c>
      <c r="C18" s="2" t="s">
        <v>24</v>
      </c>
      <c r="D18" s="2" t="s">
        <v>16</v>
      </c>
      <c r="E18" s="2">
        <v>48804.22</v>
      </c>
      <c r="F18" s="2">
        <v>7057</v>
      </c>
      <c r="G18" s="2">
        <v>5.0000000000000001E-3</v>
      </c>
      <c r="H18" s="2">
        <v>15</v>
      </c>
      <c r="I18" s="2">
        <v>87.7</v>
      </c>
      <c r="J18" s="2">
        <v>1.22</v>
      </c>
      <c r="K18" s="2">
        <v>0</v>
      </c>
      <c r="L18" s="2">
        <v>3.7</v>
      </c>
      <c r="M18" s="2">
        <v>666152.52</v>
      </c>
      <c r="N18" s="2">
        <v>107490.58</v>
      </c>
    </row>
    <row r="19" spans="1:14">
      <c r="A19" s="2" t="s">
        <v>23</v>
      </c>
      <c r="B19" s="3">
        <v>45689</v>
      </c>
      <c r="C19" s="2" t="s">
        <v>24</v>
      </c>
      <c r="D19" s="2" t="s">
        <v>16</v>
      </c>
      <c r="E19" s="2">
        <v>59117.9</v>
      </c>
      <c r="F19" s="2">
        <v>4263</v>
      </c>
      <c r="G19" s="2">
        <v>0.11899999999999999</v>
      </c>
      <c r="H19" s="2">
        <v>9</v>
      </c>
      <c r="I19" s="2">
        <v>87.6</v>
      </c>
      <c r="J19" s="2">
        <v>4.01</v>
      </c>
      <c r="K19" s="2">
        <v>0</v>
      </c>
      <c r="L19" s="2">
        <v>3.6</v>
      </c>
      <c r="M19" s="2">
        <v>573155.18999999994</v>
      </c>
      <c r="N19" s="2">
        <v>83680.75</v>
      </c>
    </row>
    <row r="20" spans="1:14">
      <c r="A20" s="2" t="s">
        <v>23</v>
      </c>
      <c r="B20" s="3">
        <v>45717</v>
      </c>
      <c r="C20" s="2" t="s">
        <v>24</v>
      </c>
      <c r="D20" s="2" t="s">
        <v>16</v>
      </c>
      <c r="E20" s="2">
        <v>78831.12</v>
      </c>
      <c r="F20" s="2">
        <v>5538</v>
      </c>
      <c r="G20" s="2">
        <v>0</v>
      </c>
      <c r="H20" s="2">
        <v>15</v>
      </c>
      <c r="I20" s="2">
        <v>94.1</v>
      </c>
      <c r="J20" s="2">
        <v>0.2</v>
      </c>
      <c r="K20" s="2">
        <v>0</v>
      </c>
      <c r="L20" s="2">
        <v>3.9</v>
      </c>
      <c r="M20" s="2">
        <v>666573.19999999995</v>
      </c>
      <c r="N20" s="2">
        <v>140641.01999999999</v>
      </c>
    </row>
    <row r="21" spans="1:14">
      <c r="A21" s="2" t="s">
        <v>23</v>
      </c>
      <c r="B21" s="3">
        <v>45748</v>
      </c>
      <c r="C21" s="2" t="s">
        <v>24</v>
      </c>
      <c r="D21" s="2" t="s">
        <v>16</v>
      </c>
      <c r="E21" s="2">
        <v>41441.93</v>
      </c>
      <c r="F21" s="2">
        <v>4865</v>
      </c>
      <c r="G21" s="2">
        <v>0.158</v>
      </c>
      <c r="H21" s="2">
        <v>16</v>
      </c>
      <c r="I21" s="2">
        <v>88.3</v>
      </c>
      <c r="J21" s="2">
        <v>0.5</v>
      </c>
      <c r="K21" s="2">
        <v>0</v>
      </c>
      <c r="L21" s="2">
        <v>4</v>
      </c>
      <c r="M21" s="2">
        <v>591619.94999999995</v>
      </c>
      <c r="N21" s="2">
        <v>99521.35</v>
      </c>
    </row>
    <row r="22" spans="1:14">
      <c r="A22" s="2" t="s">
        <v>25</v>
      </c>
      <c r="B22" s="3">
        <v>45658</v>
      </c>
      <c r="C22" s="2" t="s">
        <v>20</v>
      </c>
      <c r="D22" s="2" t="s">
        <v>16</v>
      </c>
      <c r="E22" s="2">
        <v>30356.28</v>
      </c>
      <c r="F22" s="2">
        <v>2822</v>
      </c>
      <c r="G22" s="2">
        <v>0.23100000000000001</v>
      </c>
      <c r="H22" s="2">
        <v>9</v>
      </c>
      <c r="I22" s="2">
        <v>84.8</v>
      </c>
      <c r="J22" s="2">
        <v>6.95</v>
      </c>
      <c r="K22" s="2">
        <v>0</v>
      </c>
      <c r="L22" s="2">
        <v>5</v>
      </c>
      <c r="M22" s="2">
        <v>415721.82</v>
      </c>
      <c r="N22" s="2">
        <v>61179.15</v>
      </c>
    </row>
    <row r="23" spans="1:14">
      <c r="A23" s="2" t="s">
        <v>25</v>
      </c>
      <c r="B23" s="3">
        <v>45689</v>
      </c>
      <c r="C23" s="2" t="s">
        <v>20</v>
      </c>
      <c r="D23" s="2" t="s">
        <v>16</v>
      </c>
      <c r="E23" s="2">
        <v>33518.879999999997</v>
      </c>
      <c r="F23" s="2">
        <v>2121</v>
      </c>
      <c r="G23" s="2">
        <v>0.17599999999999999</v>
      </c>
      <c r="H23" s="2">
        <v>8</v>
      </c>
      <c r="I23" s="2">
        <v>88.5</v>
      </c>
      <c r="J23" s="2">
        <v>0.2</v>
      </c>
      <c r="K23" s="2">
        <v>0</v>
      </c>
      <c r="L23" s="2">
        <v>5</v>
      </c>
      <c r="M23" s="2">
        <v>491905.13</v>
      </c>
      <c r="N23" s="2">
        <v>79212.259999999995</v>
      </c>
    </row>
    <row r="24" spans="1:14">
      <c r="A24" s="2" t="s">
        <v>25</v>
      </c>
      <c r="B24" s="3">
        <v>45717</v>
      </c>
      <c r="C24" s="2" t="s">
        <v>20</v>
      </c>
      <c r="D24" s="2" t="s">
        <v>16</v>
      </c>
      <c r="E24" s="2">
        <v>42267.37</v>
      </c>
      <c r="F24" s="2">
        <v>3364</v>
      </c>
      <c r="G24" s="2">
        <v>0.16</v>
      </c>
      <c r="H24" s="2">
        <v>13</v>
      </c>
      <c r="I24" s="2">
        <v>82</v>
      </c>
      <c r="J24" s="2">
        <v>1.61</v>
      </c>
      <c r="K24" s="2">
        <v>1</v>
      </c>
      <c r="L24" s="2">
        <v>4.5999999999999996</v>
      </c>
      <c r="M24" s="2">
        <v>555929.4</v>
      </c>
      <c r="N24" s="2">
        <v>115201.76</v>
      </c>
    </row>
    <row r="25" spans="1:14">
      <c r="A25" s="2" t="s">
        <v>25</v>
      </c>
      <c r="B25" s="3">
        <v>45748</v>
      </c>
      <c r="C25" s="2" t="s">
        <v>20</v>
      </c>
      <c r="D25" s="2" t="s">
        <v>16</v>
      </c>
      <c r="E25" s="2">
        <v>62060.43</v>
      </c>
      <c r="F25" s="2">
        <v>2613</v>
      </c>
      <c r="G25" s="2">
        <v>0.216</v>
      </c>
      <c r="H25" s="2">
        <v>12</v>
      </c>
      <c r="I25" s="2">
        <v>92.1</v>
      </c>
      <c r="J25" s="2">
        <v>1.55</v>
      </c>
      <c r="K25" s="2">
        <v>0</v>
      </c>
      <c r="L25" s="2">
        <v>4.7</v>
      </c>
      <c r="M25" s="2">
        <v>565810.99</v>
      </c>
      <c r="N25" s="2">
        <v>77825.460000000006</v>
      </c>
    </row>
    <row r="26" spans="1:14">
      <c r="A26" s="2" t="s">
        <v>26</v>
      </c>
      <c r="B26" s="3">
        <v>45658</v>
      </c>
      <c r="C26" s="2" t="s">
        <v>27</v>
      </c>
      <c r="D26" s="2" t="s">
        <v>28</v>
      </c>
      <c r="E26" s="2">
        <v>57696.69</v>
      </c>
      <c r="F26" s="2">
        <v>10218</v>
      </c>
      <c r="G26" s="2">
        <v>0.121</v>
      </c>
      <c r="H26" s="2">
        <v>25</v>
      </c>
      <c r="I26" s="2">
        <v>94.8</v>
      </c>
      <c r="J26" s="2">
        <v>2.99</v>
      </c>
      <c r="K26" s="2">
        <v>0</v>
      </c>
      <c r="L26" s="2">
        <v>3.5</v>
      </c>
      <c r="M26" s="2">
        <v>811771.14</v>
      </c>
      <c r="N26" s="2">
        <v>148756.24</v>
      </c>
    </row>
    <row r="27" spans="1:14">
      <c r="A27" s="2" t="s">
        <v>26</v>
      </c>
      <c r="B27" s="3">
        <v>45689</v>
      </c>
      <c r="C27" s="2" t="s">
        <v>27</v>
      </c>
      <c r="D27" s="2" t="s">
        <v>28</v>
      </c>
      <c r="E27" s="2">
        <v>172415.52</v>
      </c>
      <c r="F27" s="2">
        <v>8927</v>
      </c>
      <c r="G27" s="2">
        <v>0.14000000000000001</v>
      </c>
      <c r="H27" s="2">
        <v>22</v>
      </c>
      <c r="I27" s="2">
        <v>86.2</v>
      </c>
      <c r="J27" s="2">
        <v>7.04</v>
      </c>
      <c r="K27" s="2">
        <v>0</v>
      </c>
      <c r="L27" s="2">
        <v>3.9</v>
      </c>
      <c r="M27" s="2">
        <v>800451.94</v>
      </c>
      <c r="N27" s="2">
        <v>111572.29</v>
      </c>
    </row>
    <row r="28" spans="1:14">
      <c r="A28" s="2" t="s">
        <v>26</v>
      </c>
      <c r="B28" s="3">
        <v>45717</v>
      </c>
      <c r="C28" s="2" t="s">
        <v>27</v>
      </c>
      <c r="D28" s="2" t="s">
        <v>28</v>
      </c>
      <c r="E28" s="2">
        <v>55270.52</v>
      </c>
      <c r="F28" s="2">
        <v>9315</v>
      </c>
      <c r="G28" s="2">
        <v>0.16900000000000001</v>
      </c>
      <c r="H28" s="2">
        <v>23</v>
      </c>
      <c r="I28" s="2">
        <v>91.9</v>
      </c>
      <c r="J28" s="2">
        <v>4.9400000000000004</v>
      </c>
      <c r="K28" s="2">
        <v>0</v>
      </c>
      <c r="L28" s="2">
        <v>4</v>
      </c>
      <c r="M28" s="2">
        <v>783672.82</v>
      </c>
      <c r="N28" s="2">
        <v>112577.14</v>
      </c>
    </row>
    <row r="29" spans="1:14">
      <c r="A29" s="2" t="s">
        <v>26</v>
      </c>
      <c r="B29" s="3">
        <v>45748</v>
      </c>
      <c r="C29" s="2" t="s">
        <v>27</v>
      </c>
      <c r="D29" s="2" t="s">
        <v>28</v>
      </c>
      <c r="E29" s="2">
        <v>52715.1</v>
      </c>
      <c r="F29" s="2">
        <v>7223</v>
      </c>
      <c r="G29" s="2">
        <v>0.122</v>
      </c>
      <c r="H29" s="2">
        <v>16</v>
      </c>
      <c r="I29" s="2">
        <v>84.2</v>
      </c>
      <c r="J29" s="2">
        <v>16.149999999999999</v>
      </c>
      <c r="K29" s="2">
        <v>0</v>
      </c>
      <c r="L29" s="2">
        <v>3.7</v>
      </c>
      <c r="M29" s="2">
        <v>701641.97</v>
      </c>
      <c r="N29" s="2">
        <v>106111.86</v>
      </c>
    </row>
    <row r="30" spans="1:14">
      <c r="A30" s="2" t="s">
        <v>29</v>
      </c>
      <c r="B30" s="3">
        <v>45658</v>
      </c>
      <c r="C30" s="2" t="s">
        <v>15</v>
      </c>
      <c r="D30" s="2" t="s">
        <v>16</v>
      </c>
      <c r="E30" s="2">
        <v>68600.62</v>
      </c>
      <c r="F30" s="2">
        <v>3988</v>
      </c>
      <c r="G30" s="2">
        <v>0.124</v>
      </c>
      <c r="H30" s="2">
        <v>11</v>
      </c>
      <c r="I30" s="2">
        <v>85</v>
      </c>
      <c r="J30" s="2">
        <v>0.48</v>
      </c>
      <c r="K30" s="2">
        <v>0</v>
      </c>
      <c r="L30" s="2">
        <v>3.6</v>
      </c>
      <c r="M30" s="2">
        <v>511844.41</v>
      </c>
      <c r="N30" s="2">
        <v>72774.44</v>
      </c>
    </row>
    <row r="31" spans="1:14">
      <c r="A31" s="2" t="s">
        <v>29</v>
      </c>
      <c r="B31" s="3">
        <v>45689</v>
      </c>
      <c r="C31" s="2" t="s">
        <v>15</v>
      </c>
      <c r="D31" s="2" t="s">
        <v>16</v>
      </c>
      <c r="E31" s="2">
        <v>63176.73</v>
      </c>
      <c r="F31" s="2">
        <v>2390</v>
      </c>
      <c r="G31" s="2">
        <v>0.216</v>
      </c>
      <c r="H31" s="2">
        <v>9</v>
      </c>
      <c r="I31" s="2">
        <v>87.5</v>
      </c>
      <c r="J31" s="2">
        <v>0.31</v>
      </c>
      <c r="K31" s="2">
        <v>0</v>
      </c>
      <c r="L31" s="2">
        <v>3.1</v>
      </c>
      <c r="M31" s="2">
        <v>537383.79</v>
      </c>
      <c r="N31" s="2">
        <v>63773.27</v>
      </c>
    </row>
    <row r="32" spans="1:14">
      <c r="A32" s="2" t="s">
        <v>29</v>
      </c>
      <c r="B32" s="3">
        <v>45717</v>
      </c>
      <c r="C32" s="2" t="s">
        <v>15</v>
      </c>
      <c r="D32" s="2" t="s">
        <v>16</v>
      </c>
      <c r="E32" s="2">
        <v>44970.080000000002</v>
      </c>
      <c r="F32" s="2">
        <v>2471</v>
      </c>
      <c r="G32" s="2">
        <v>0.13600000000000001</v>
      </c>
      <c r="H32" s="2">
        <v>11</v>
      </c>
      <c r="I32" s="2">
        <v>87.6</v>
      </c>
      <c r="J32" s="2">
        <v>3.01</v>
      </c>
      <c r="K32" s="2">
        <v>1</v>
      </c>
      <c r="L32" s="2">
        <v>3.7</v>
      </c>
      <c r="M32" s="2">
        <v>500173.02</v>
      </c>
      <c r="N32" s="2">
        <v>70982.05</v>
      </c>
    </row>
    <row r="33" spans="1:14">
      <c r="A33" s="2" t="s">
        <v>29</v>
      </c>
      <c r="B33" s="3">
        <v>45748</v>
      </c>
      <c r="C33" s="2" t="s">
        <v>15</v>
      </c>
      <c r="D33" s="2" t="s">
        <v>16</v>
      </c>
      <c r="E33" s="2">
        <v>69816.350000000006</v>
      </c>
      <c r="F33" s="2">
        <v>971</v>
      </c>
      <c r="G33" s="2">
        <v>0.16800000000000001</v>
      </c>
      <c r="H33" s="2">
        <v>5</v>
      </c>
      <c r="I33" s="2">
        <v>89.9</v>
      </c>
      <c r="J33" s="2">
        <v>12.15</v>
      </c>
      <c r="K33" s="2">
        <v>0</v>
      </c>
      <c r="L33" s="2">
        <v>3.6</v>
      </c>
      <c r="M33" s="2">
        <v>427917.38</v>
      </c>
      <c r="N33" s="2">
        <v>81824.31</v>
      </c>
    </row>
    <row r="34" spans="1:14">
      <c r="A34" s="2" t="s">
        <v>30</v>
      </c>
      <c r="B34" s="3">
        <v>45658</v>
      </c>
      <c r="C34" s="2" t="s">
        <v>20</v>
      </c>
      <c r="D34" s="2" t="s">
        <v>16</v>
      </c>
      <c r="E34" s="2">
        <v>54597.83</v>
      </c>
      <c r="F34" s="2">
        <v>9429</v>
      </c>
      <c r="G34" s="2">
        <v>0.188</v>
      </c>
      <c r="H34" s="2">
        <v>21</v>
      </c>
      <c r="I34" s="2">
        <v>83.3</v>
      </c>
      <c r="J34" s="2">
        <v>11.71</v>
      </c>
      <c r="K34" s="2">
        <v>0</v>
      </c>
      <c r="L34" s="2">
        <v>4.2</v>
      </c>
      <c r="M34" s="2">
        <v>641865.03</v>
      </c>
      <c r="N34" s="2">
        <v>81342.58</v>
      </c>
    </row>
    <row r="35" spans="1:14">
      <c r="A35" s="2" t="s">
        <v>30</v>
      </c>
      <c r="B35" s="3">
        <v>45689</v>
      </c>
      <c r="C35" s="2" t="s">
        <v>20</v>
      </c>
      <c r="D35" s="2" t="s">
        <v>16</v>
      </c>
      <c r="E35" s="2">
        <v>73771.91</v>
      </c>
      <c r="F35" s="2">
        <v>11695</v>
      </c>
      <c r="G35" s="2">
        <v>7.0000000000000007E-2</v>
      </c>
      <c r="H35" s="2">
        <v>25</v>
      </c>
      <c r="I35" s="2">
        <v>84.7</v>
      </c>
      <c r="J35" s="2">
        <v>0.62</v>
      </c>
      <c r="K35" s="2">
        <v>0</v>
      </c>
      <c r="L35" s="2"/>
      <c r="M35" s="2">
        <v>799477.76000000001</v>
      </c>
      <c r="N35" s="2">
        <v>164974.41</v>
      </c>
    </row>
    <row r="36" spans="1:14">
      <c r="A36" s="2" t="s">
        <v>30</v>
      </c>
      <c r="B36" s="3">
        <v>45717</v>
      </c>
      <c r="C36" s="2" t="s">
        <v>20</v>
      </c>
      <c r="D36" s="2" t="s">
        <v>16</v>
      </c>
      <c r="E36" s="2">
        <v>74413.88</v>
      </c>
      <c r="F36" s="2">
        <v>9449</v>
      </c>
      <c r="G36" s="2">
        <v>3.9E-2</v>
      </c>
      <c r="H36" s="2">
        <v>23</v>
      </c>
      <c r="I36" s="2">
        <v>92.1</v>
      </c>
      <c r="J36" s="2">
        <v>2.12</v>
      </c>
      <c r="K36" s="2">
        <v>0</v>
      </c>
      <c r="L36" s="2">
        <v>3.5</v>
      </c>
      <c r="M36" s="2">
        <v>798952.17</v>
      </c>
      <c r="N36" s="2">
        <v>161499.04</v>
      </c>
    </row>
    <row r="37" spans="1:14">
      <c r="A37" s="2" t="s">
        <v>30</v>
      </c>
      <c r="B37" s="3">
        <v>45748</v>
      </c>
      <c r="C37" s="2" t="s">
        <v>20</v>
      </c>
      <c r="D37" s="2" t="s">
        <v>16</v>
      </c>
      <c r="E37" s="2">
        <v>52483.77</v>
      </c>
      <c r="F37" s="2">
        <v>10453</v>
      </c>
      <c r="G37" s="2">
        <v>0.247</v>
      </c>
      <c r="H37" s="2">
        <v>25</v>
      </c>
      <c r="I37" s="2">
        <v>99</v>
      </c>
      <c r="J37" s="2">
        <v>6.31</v>
      </c>
      <c r="K37" s="2">
        <v>0</v>
      </c>
      <c r="L37" s="2">
        <v>3.6</v>
      </c>
      <c r="M37" s="2">
        <v>800979.78</v>
      </c>
      <c r="N37" s="2">
        <v>149242.26999999999</v>
      </c>
    </row>
    <row r="38" spans="1:14">
      <c r="A38" s="2" t="s">
        <v>31</v>
      </c>
      <c r="B38" s="3">
        <v>45658</v>
      </c>
      <c r="C38" s="2" t="s">
        <v>20</v>
      </c>
      <c r="D38" s="2" t="s">
        <v>28</v>
      </c>
      <c r="E38" s="2">
        <v>75269.87</v>
      </c>
      <c r="F38" s="2">
        <v>8838</v>
      </c>
      <c r="G38" s="2">
        <v>9.1999999999999998E-2</v>
      </c>
      <c r="H38" s="2">
        <v>21</v>
      </c>
      <c r="I38" s="2">
        <v>83.1</v>
      </c>
      <c r="J38" s="2">
        <v>9.56</v>
      </c>
      <c r="K38" s="2">
        <v>1</v>
      </c>
      <c r="L38" s="2">
        <v>4.2</v>
      </c>
      <c r="M38" s="2">
        <v>820593.93</v>
      </c>
      <c r="N38" s="2">
        <v>115860.06</v>
      </c>
    </row>
    <row r="39" spans="1:14">
      <c r="A39" s="2" t="s">
        <v>31</v>
      </c>
      <c r="B39" s="3">
        <v>45689</v>
      </c>
      <c r="C39" s="2" t="s">
        <v>20</v>
      </c>
      <c r="D39" s="2" t="s">
        <v>28</v>
      </c>
      <c r="E39" s="2">
        <v>61245.41</v>
      </c>
      <c r="F39" s="2">
        <v>8156</v>
      </c>
      <c r="G39" s="2">
        <v>0.156</v>
      </c>
      <c r="H39" s="2">
        <v>19</v>
      </c>
      <c r="I39" s="2">
        <v>92.9</v>
      </c>
      <c r="J39" s="2">
        <v>9.0500000000000007</v>
      </c>
      <c r="K39" s="2">
        <v>0</v>
      </c>
      <c r="L39" s="2">
        <v>3.8</v>
      </c>
      <c r="M39" s="2">
        <v>718330.53</v>
      </c>
      <c r="N39" s="2">
        <v>93247.9</v>
      </c>
    </row>
    <row r="40" spans="1:14">
      <c r="A40" s="2" t="s">
        <v>31</v>
      </c>
      <c r="B40" s="3">
        <v>45717</v>
      </c>
      <c r="C40" s="2" t="s">
        <v>20</v>
      </c>
      <c r="D40" s="2" t="s">
        <v>28</v>
      </c>
      <c r="E40" s="2">
        <v>93381.26</v>
      </c>
      <c r="F40" s="2">
        <v>7562</v>
      </c>
      <c r="G40" s="2">
        <v>0.19800000000000001</v>
      </c>
      <c r="H40" s="2">
        <v>19</v>
      </c>
      <c r="I40" s="2">
        <v>82.9</v>
      </c>
      <c r="J40" s="2">
        <v>5.05</v>
      </c>
      <c r="K40" s="2">
        <v>0</v>
      </c>
      <c r="L40" s="2">
        <v>4</v>
      </c>
      <c r="M40" s="2">
        <v>736633.4</v>
      </c>
      <c r="N40" s="2">
        <v>115654.66</v>
      </c>
    </row>
    <row r="41" spans="1:14">
      <c r="A41" s="2" t="s">
        <v>31</v>
      </c>
      <c r="B41" s="3">
        <v>45748</v>
      </c>
      <c r="C41" s="2" t="s">
        <v>20</v>
      </c>
      <c r="D41" s="2" t="s">
        <v>28</v>
      </c>
      <c r="E41" s="2">
        <v>65012.19</v>
      </c>
      <c r="F41" s="2">
        <v>9598</v>
      </c>
      <c r="G41" s="2">
        <v>8.5000000000000006E-2</v>
      </c>
      <c r="H41" s="2">
        <v>24</v>
      </c>
      <c r="I41" s="2">
        <v>98.3</v>
      </c>
      <c r="J41" s="2">
        <v>0.89</v>
      </c>
      <c r="K41" s="2">
        <v>0</v>
      </c>
      <c r="L41" s="2">
        <v>3.8</v>
      </c>
      <c r="M41" s="2">
        <v>828623.85</v>
      </c>
      <c r="N41" s="2">
        <v>167320.51999999999</v>
      </c>
    </row>
    <row r="42" spans="1:14">
      <c r="A42" s="2" t="s">
        <v>32</v>
      </c>
      <c r="B42" s="3">
        <v>45658</v>
      </c>
      <c r="C42" s="2" t="s">
        <v>15</v>
      </c>
      <c r="D42" s="2" t="s">
        <v>28</v>
      </c>
      <c r="E42" s="2">
        <v>40462.94</v>
      </c>
      <c r="F42" s="2">
        <v>3660</v>
      </c>
      <c r="G42" s="2">
        <v>0.218</v>
      </c>
      <c r="H42" s="2">
        <v>11</v>
      </c>
      <c r="I42" s="2">
        <v>95.2</v>
      </c>
      <c r="J42" s="2">
        <v>5.57</v>
      </c>
      <c r="K42" s="2">
        <v>0</v>
      </c>
      <c r="L42" s="2">
        <v>4.4000000000000004</v>
      </c>
      <c r="M42" s="2">
        <v>592195.85</v>
      </c>
      <c r="N42" s="2">
        <v>92291.56</v>
      </c>
    </row>
    <row r="43" spans="1:14">
      <c r="A43" s="2" t="s">
        <v>32</v>
      </c>
      <c r="B43" s="3">
        <v>45689</v>
      </c>
      <c r="C43" s="2" t="s">
        <v>15</v>
      </c>
      <c r="D43" s="2" t="s">
        <v>28</v>
      </c>
      <c r="E43" s="2">
        <v>46123.88</v>
      </c>
      <c r="F43" s="2">
        <v>3227</v>
      </c>
      <c r="G43" s="2">
        <v>0.14299999999999999</v>
      </c>
      <c r="H43" s="2">
        <v>10</v>
      </c>
      <c r="I43" s="2">
        <v>75.400000000000006</v>
      </c>
      <c r="J43" s="2">
        <v>1.06</v>
      </c>
      <c r="K43" s="2">
        <v>0</v>
      </c>
      <c r="L43" s="2">
        <v>4.4000000000000004</v>
      </c>
      <c r="M43" s="2">
        <v>532644.46</v>
      </c>
      <c r="N43" s="2">
        <v>60681.32</v>
      </c>
    </row>
    <row r="44" spans="1:14">
      <c r="A44" s="2" t="s">
        <v>32</v>
      </c>
      <c r="B44" s="3">
        <v>45717</v>
      </c>
      <c r="C44" s="2" t="s">
        <v>15</v>
      </c>
      <c r="D44" s="2" t="s">
        <v>28</v>
      </c>
      <c r="E44" s="2">
        <v>68077.539999999994</v>
      </c>
      <c r="F44" s="2">
        <v>3360</v>
      </c>
      <c r="G44" s="2">
        <v>0.128</v>
      </c>
      <c r="H44" s="2">
        <v>14</v>
      </c>
      <c r="I44" s="2">
        <v>88.2</v>
      </c>
      <c r="J44" s="2">
        <v>1.24</v>
      </c>
      <c r="K44" s="2">
        <v>1</v>
      </c>
      <c r="L44" s="2">
        <v>4</v>
      </c>
      <c r="M44" s="2">
        <v>657429.18000000005</v>
      </c>
      <c r="N44" s="2">
        <v>88919.74</v>
      </c>
    </row>
    <row r="45" spans="1:14">
      <c r="A45" s="2" t="s">
        <v>32</v>
      </c>
      <c r="B45" s="3">
        <v>45748</v>
      </c>
      <c r="C45" s="2" t="s">
        <v>15</v>
      </c>
      <c r="D45" s="2" t="s">
        <v>28</v>
      </c>
      <c r="E45" s="2">
        <v>64882.14</v>
      </c>
      <c r="F45" s="2">
        <v>3642</v>
      </c>
      <c r="G45" s="2">
        <v>1.9E-2</v>
      </c>
      <c r="H45" s="2">
        <v>13</v>
      </c>
      <c r="I45" s="2">
        <v>87.8</v>
      </c>
      <c r="J45" s="2">
        <v>4.5199999999999996</v>
      </c>
      <c r="K45" s="2">
        <v>0</v>
      </c>
      <c r="L45" s="2">
        <v>4.2</v>
      </c>
      <c r="M45" s="2">
        <v>605178</v>
      </c>
      <c r="N45" s="2">
        <v>106958.74</v>
      </c>
    </row>
    <row r="46" spans="1:14">
      <c r="A46" s="2" t="s">
        <v>33</v>
      </c>
      <c r="B46" s="3">
        <v>45658</v>
      </c>
      <c r="C46" s="2" t="s">
        <v>27</v>
      </c>
      <c r="D46" s="2" t="s">
        <v>16</v>
      </c>
      <c r="E46" s="2">
        <v>138855.51</v>
      </c>
      <c r="F46" s="2">
        <v>5145</v>
      </c>
      <c r="G46" s="2">
        <v>0.06</v>
      </c>
      <c r="H46" s="2">
        <v>17</v>
      </c>
      <c r="I46" s="2">
        <v>88.2</v>
      </c>
      <c r="J46" s="2">
        <v>9.58</v>
      </c>
      <c r="K46" s="2">
        <v>0</v>
      </c>
      <c r="L46" s="2">
        <v>3.2</v>
      </c>
      <c r="M46" s="2">
        <v>595467.6</v>
      </c>
      <c r="N46" s="2">
        <v>104276.46</v>
      </c>
    </row>
    <row r="47" spans="1:14">
      <c r="A47" s="2" t="s">
        <v>33</v>
      </c>
      <c r="B47" s="3">
        <v>45689</v>
      </c>
      <c r="C47" s="2" t="s">
        <v>27</v>
      </c>
      <c r="D47" s="2" t="s">
        <v>16</v>
      </c>
      <c r="E47" s="2">
        <v>63630.21</v>
      </c>
      <c r="F47" s="2">
        <v>4460</v>
      </c>
      <c r="G47" s="2">
        <v>0.23499999999999999</v>
      </c>
      <c r="H47" s="2">
        <v>14</v>
      </c>
      <c r="I47" s="2">
        <v>98.6</v>
      </c>
      <c r="J47" s="2">
        <v>5.52</v>
      </c>
      <c r="K47" s="2">
        <v>0</v>
      </c>
      <c r="L47" s="2">
        <v>3.5</v>
      </c>
      <c r="M47" s="2">
        <v>599603.4</v>
      </c>
      <c r="N47" s="2">
        <v>112685.12</v>
      </c>
    </row>
    <row r="48" spans="1:14">
      <c r="A48" s="2" t="s">
        <v>33</v>
      </c>
      <c r="B48" s="3">
        <v>45717</v>
      </c>
      <c r="C48" s="2" t="s">
        <v>27</v>
      </c>
      <c r="D48" s="2" t="s">
        <v>16</v>
      </c>
      <c r="E48" s="2">
        <v>50043.65</v>
      </c>
      <c r="F48" s="2">
        <v>3804</v>
      </c>
      <c r="G48" s="2">
        <v>0.113</v>
      </c>
      <c r="H48" s="2">
        <v>11</v>
      </c>
      <c r="I48" s="2">
        <v>90.9</v>
      </c>
      <c r="J48" s="2">
        <v>2.7</v>
      </c>
      <c r="K48" s="2">
        <v>1</v>
      </c>
      <c r="L48" s="2">
        <v>3.2</v>
      </c>
      <c r="M48" s="2">
        <v>614800.09</v>
      </c>
      <c r="N48" s="2">
        <v>100044.2</v>
      </c>
    </row>
    <row r="49" spans="1:14">
      <c r="A49" s="2" t="s">
        <v>33</v>
      </c>
      <c r="B49" s="3">
        <v>45748</v>
      </c>
      <c r="C49" s="2" t="s">
        <v>27</v>
      </c>
      <c r="D49" s="2" t="s">
        <v>16</v>
      </c>
      <c r="E49" s="2">
        <v>42093.84</v>
      </c>
      <c r="F49" s="2">
        <v>4074</v>
      </c>
      <c r="G49" s="2">
        <v>0.155</v>
      </c>
      <c r="H49" s="2">
        <v>15</v>
      </c>
      <c r="I49" s="2">
        <v>88</v>
      </c>
      <c r="J49" s="2">
        <v>9.64</v>
      </c>
      <c r="K49" s="2">
        <v>0</v>
      </c>
      <c r="L49" s="2">
        <v>3.3</v>
      </c>
      <c r="M49" s="2">
        <v>585365.73</v>
      </c>
      <c r="N49" s="2">
        <v>81011.520000000004</v>
      </c>
    </row>
    <row r="50" spans="1:14">
      <c r="A50" s="2" t="s">
        <v>34</v>
      </c>
      <c r="B50" s="3">
        <v>45658</v>
      </c>
      <c r="C50" s="2" t="s">
        <v>20</v>
      </c>
      <c r="D50" s="2" t="s">
        <v>28</v>
      </c>
      <c r="E50" s="2">
        <v>46624.05</v>
      </c>
      <c r="F50" s="2">
        <v>5104</v>
      </c>
      <c r="G50" s="2">
        <v>0.109</v>
      </c>
      <c r="H50" s="2">
        <v>11</v>
      </c>
      <c r="I50" s="2">
        <v>97.3</v>
      </c>
      <c r="J50" s="2">
        <v>3.49</v>
      </c>
      <c r="K50" s="2">
        <v>1</v>
      </c>
      <c r="L50" s="2">
        <v>4.7</v>
      </c>
      <c r="M50" s="2">
        <v>622811.74</v>
      </c>
      <c r="N50" s="2">
        <v>109978.35</v>
      </c>
    </row>
    <row r="51" spans="1:14">
      <c r="A51" s="2" t="s">
        <v>34</v>
      </c>
      <c r="B51" s="3">
        <v>45689</v>
      </c>
      <c r="C51" s="2" t="s">
        <v>20</v>
      </c>
      <c r="D51" s="2" t="s">
        <v>28</v>
      </c>
      <c r="E51" s="2">
        <v>49710.29</v>
      </c>
      <c r="F51" s="2">
        <v>5559</v>
      </c>
      <c r="G51" s="2">
        <v>0.218</v>
      </c>
      <c r="H51" s="2">
        <v>14</v>
      </c>
      <c r="I51" s="2">
        <v>71</v>
      </c>
      <c r="J51" s="2">
        <v>9.11</v>
      </c>
      <c r="K51" s="2">
        <v>0</v>
      </c>
      <c r="L51" s="2">
        <v>4.5999999999999996</v>
      </c>
      <c r="M51" s="2">
        <v>603297.56999999995</v>
      </c>
      <c r="N51" s="2">
        <v>60592.26</v>
      </c>
    </row>
    <row r="52" spans="1:14">
      <c r="A52" s="2" t="s">
        <v>34</v>
      </c>
      <c r="B52" s="3">
        <v>45717</v>
      </c>
      <c r="C52" s="2" t="s">
        <v>20</v>
      </c>
      <c r="D52" s="2" t="s">
        <v>28</v>
      </c>
      <c r="E52" s="2">
        <v>48287.85</v>
      </c>
      <c r="F52" s="2">
        <v>5150</v>
      </c>
      <c r="G52" s="2">
        <v>8.0000000000000002E-3</v>
      </c>
      <c r="H52" s="2">
        <v>12</v>
      </c>
      <c r="I52" s="2">
        <v>80.400000000000006</v>
      </c>
      <c r="J52" s="2">
        <v>7.4</v>
      </c>
      <c r="K52" s="2">
        <v>0</v>
      </c>
      <c r="L52" s="2">
        <v>4.5</v>
      </c>
      <c r="M52" s="2">
        <v>625672.86</v>
      </c>
      <c r="N52" s="2">
        <v>118020.12</v>
      </c>
    </row>
    <row r="53" spans="1:14">
      <c r="A53" s="2" t="s">
        <v>34</v>
      </c>
      <c r="B53" s="3">
        <v>45748</v>
      </c>
      <c r="C53" s="2" t="s">
        <v>20</v>
      </c>
      <c r="D53" s="2" t="s">
        <v>28</v>
      </c>
      <c r="E53" s="2">
        <v>65312.49</v>
      </c>
      <c r="F53" s="2">
        <v>7189</v>
      </c>
      <c r="G53" s="2">
        <v>0.05</v>
      </c>
      <c r="H53" s="2">
        <v>19</v>
      </c>
      <c r="I53" s="2">
        <v>93.7</v>
      </c>
      <c r="J53" s="2">
        <v>7.16</v>
      </c>
      <c r="K53" s="2">
        <v>0</v>
      </c>
      <c r="L53" s="2">
        <v>4.5999999999999996</v>
      </c>
      <c r="M53" s="2">
        <v>773815.14</v>
      </c>
      <c r="N53" s="2">
        <v>133948.39000000001</v>
      </c>
    </row>
    <row r="54" spans="1:14">
      <c r="A54" s="2" t="s">
        <v>35</v>
      </c>
      <c r="B54" s="3">
        <v>45658</v>
      </c>
      <c r="C54" s="2" t="s">
        <v>27</v>
      </c>
      <c r="D54" s="2" t="s">
        <v>18</v>
      </c>
      <c r="E54" s="2">
        <v>53015.46</v>
      </c>
      <c r="F54" s="2">
        <v>3279</v>
      </c>
      <c r="G54" s="2">
        <v>8.6999999999999994E-2</v>
      </c>
      <c r="H54" s="2">
        <v>9</v>
      </c>
      <c r="I54" s="2">
        <v>84.3</v>
      </c>
      <c r="J54" s="2">
        <v>22.02</v>
      </c>
      <c r="K54" s="2">
        <v>0</v>
      </c>
      <c r="L54" s="2">
        <v>3.9</v>
      </c>
      <c r="M54" s="2">
        <v>463534.25</v>
      </c>
      <c r="N54" s="2">
        <v>81834.539999999994</v>
      </c>
    </row>
    <row r="55" spans="1:14">
      <c r="A55" s="2" t="s">
        <v>35</v>
      </c>
      <c r="B55" s="3">
        <v>45689</v>
      </c>
      <c r="C55" s="2" t="s">
        <v>27</v>
      </c>
      <c r="D55" s="2" t="s">
        <v>18</v>
      </c>
      <c r="E55" s="2">
        <v>99874.01</v>
      </c>
      <c r="F55" s="2">
        <v>5887</v>
      </c>
      <c r="G55" s="2">
        <v>0.26200000000000001</v>
      </c>
      <c r="H55" s="2">
        <v>14</v>
      </c>
      <c r="I55" s="2">
        <v>88.7</v>
      </c>
      <c r="J55" s="2">
        <v>6.18</v>
      </c>
      <c r="K55" s="2">
        <v>0</v>
      </c>
      <c r="L55" s="2">
        <v>4.7</v>
      </c>
      <c r="M55" s="2">
        <v>746677.75</v>
      </c>
      <c r="N55" s="2">
        <v>122437.84</v>
      </c>
    </row>
    <row r="56" spans="1:14">
      <c r="A56" s="2" t="s">
        <v>35</v>
      </c>
      <c r="B56" s="3">
        <v>45717</v>
      </c>
      <c r="C56" s="2" t="s">
        <v>27</v>
      </c>
      <c r="D56" s="2" t="s">
        <v>18</v>
      </c>
      <c r="E56" s="2">
        <v>81195.5</v>
      </c>
      <c r="F56" s="2">
        <v>5516</v>
      </c>
      <c r="G56" s="2">
        <v>0.106</v>
      </c>
      <c r="H56" s="2">
        <v>14</v>
      </c>
      <c r="I56" s="2">
        <v>88</v>
      </c>
      <c r="J56" s="2">
        <v>1.76</v>
      </c>
      <c r="K56" s="2">
        <v>0</v>
      </c>
      <c r="L56" s="2">
        <v>4.3</v>
      </c>
      <c r="M56" s="2">
        <v>720852.5</v>
      </c>
      <c r="N56" s="2">
        <v>98565.62</v>
      </c>
    </row>
    <row r="57" spans="1:14">
      <c r="A57" s="2" t="s">
        <v>35</v>
      </c>
      <c r="B57" s="3">
        <v>45748</v>
      </c>
      <c r="C57" s="2" t="s">
        <v>27</v>
      </c>
      <c r="D57" s="2" t="s">
        <v>18</v>
      </c>
      <c r="E57" s="2">
        <v>27808.6</v>
      </c>
      <c r="F57" s="2">
        <v>2863</v>
      </c>
      <c r="G57" s="2">
        <v>0.08</v>
      </c>
      <c r="H57" s="2">
        <v>13</v>
      </c>
      <c r="I57" s="2">
        <v>89.3</v>
      </c>
      <c r="J57" s="2">
        <v>0.47</v>
      </c>
      <c r="K57" s="2">
        <v>0</v>
      </c>
      <c r="L57" s="2">
        <v>4.0999999999999996</v>
      </c>
      <c r="M57" s="2">
        <v>487464.91</v>
      </c>
      <c r="N57" s="2">
        <v>64562.26</v>
      </c>
    </row>
    <row r="58" spans="1:14">
      <c r="A58" s="2" t="s">
        <v>36</v>
      </c>
      <c r="B58" s="3">
        <v>45658</v>
      </c>
      <c r="C58" s="2" t="s">
        <v>15</v>
      </c>
      <c r="D58" s="2" t="s">
        <v>21</v>
      </c>
      <c r="E58" s="2">
        <v>19365.060000000001</v>
      </c>
      <c r="F58" s="2">
        <v>2378</v>
      </c>
      <c r="G58" s="2">
        <v>0</v>
      </c>
      <c r="H58" s="2">
        <v>12</v>
      </c>
      <c r="I58" s="2">
        <v>94.8</v>
      </c>
      <c r="J58" s="2">
        <v>0.2</v>
      </c>
      <c r="K58" s="2">
        <v>0</v>
      </c>
      <c r="L58" s="2">
        <v>3.5</v>
      </c>
      <c r="M58" s="2">
        <v>518049.26</v>
      </c>
      <c r="N58" s="2">
        <v>108592.49</v>
      </c>
    </row>
    <row r="59" spans="1:14">
      <c r="A59" s="2" t="s">
        <v>36</v>
      </c>
      <c r="B59" s="3">
        <v>45689</v>
      </c>
      <c r="C59" s="2" t="s">
        <v>15</v>
      </c>
      <c r="D59" s="2" t="s">
        <v>21</v>
      </c>
      <c r="E59" s="2">
        <v>59405.68</v>
      </c>
      <c r="F59" s="2">
        <v>2515</v>
      </c>
      <c r="G59" s="2">
        <v>3.9E-2</v>
      </c>
      <c r="H59" s="2">
        <v>12</v>
      </c>
      <c r="I59" s="2">
        <v>76</v>
      </c>
      <c r="J59" s="2">
        <v>5.1100000000000003</v>
      </c>
      <c r="K59" s="2">
        <v>0</v>
      </c>
      <c r="L59" s="2">
        <v>3.7</v>
      </c>
      <c r="M59" s="2">
        <v>500298.48</v>
      </c>
      <c r="N59" s="2">
        <v>73461.320000000007</v>
      </c>
    </row>
    <row r="60" spans="1:14">
      <c r="A60" s="2" t="s">
        <v>36</v>
      </c>
      <c r="B60" s="3">
        <v>45717</v>
      </c>
      <c r="C60" s="2" t="s">
        <v>15</v>
      </c>
      <c r="D60" s="2" t="s">
        <v>21</v>
      </c>
      <c r="E60" s="2">
        <v>118910.48</v>
      </c>
      <c r="F60" s="2">
        <v>4022</v>
      </c>
      <c r="G60" s="2">
        <v>0.13700000000000001</v>
      </c>
      <c r="H60" s="2">
        <v>11</v>
      </c>
      <c r="I60" s="2">
        <v>87.1</v>
      </c>
      <c r="J60" s="2">
        <v>0.2</v>
      </c>
      <c r="K60" s="2">
        <v>0</v>
      </c>
      <c r="L60" s="2">
        <v>3.1</v>
      </c>
      <c r="M60" s="2">
        <v>617291.15</v>
      </c>
      <c r="N60" s="2">
        <v>117782</v>
      </c>
    </row>
    <row r="61" spans="1:14">
      <c r="A61" s="2" t="s">
        <v>36</v>
      </c>
      <c r="B61" s="3">
        <v>45748</v>
      </c>
      <c r="C61" s="2" t="s">
        <v>15</v>
      </c>
      <c r="D61" s="2" t="s">
        <v>21</v>
      </c>
      <c r="E61" s="2">
        <v>52952.12</v>
      </c>
      <c r="F61" s="2">
        <v>4377</v>
      </c>
      <c r="G61" s="2">
        <v>9.1999999999999998E-2</v>
      </c>
      <c r="H61" s="2">
        <v>14</v>
      </c>
      <c r="I61" s="2">
        <v>88.6</v>
      </c>
      <c r="J61" s="2">
        <v>13.59</v>
      </c>
      <c r="K61" s="2">
        <v>0</v>
      </c>
      <c r="L61" s="2">
        <v>3.1</v>
      </c>
      <c r="M61" s="2">
        <v>553756.43000000005</v>
      </c>
      <c r="N61" s="2">
        <v>86166.77</v>
      </c>
    </row>
    <row r="62" spans="1:14">
      <c r="A62" s="2" t="s">
        <v>37</v>
      </c>
      <c r="B62" s="3">
        <v>45658</v>
      </c>
      <c r="C62" s="2" t="s">
        <v>24</v>
      </c>
      <c r="D62" s="2" t="s">
        <v>18</v>
      </c>
      <c r="E62" s="2">
        <v>74907.98</v>
      </c>
      <c r="F62" s="2">
        <v>5306</v>
      </c>
      <c r="G62" s="2">
        <v>6.2E-2</v>
      </c>
      <c r="H62" s="2">
        <v>16</v>
      </c>
      <c r="I62" s="2">
        <v>95.6</v>
      </c>
      <c r="J62" s="2">
        <v>1.02</v>
      </c>
      <c r="K62" s="2">
        <v>0</v>
      </c>
      <c r="L62" s="2">
        <v>3.7</v>
      </c>
      <c r="M62" s="2">
        <v>749559.71</v>
      </c>
      <c r="N62" s="2">
        <v>144522.53</v>
      </c>
    </row>
    <row r="63" spans="1:14">
      <c r="A63" s="2" t="s">
        <v>37</v>
      </c>
      <c r="B63" s="3">
        <v>45689</v>
      </c>
      <c r="C63" s="2" t="s">
        <v>24</v>
      </c>
      <c r="D63" s="2" t="s">
        <v>18</v>
      </c>
      <c r="E63" s="2">
        <v>37284.660000000003</v>
      </c>
      <c r="F63" s="2">
        <v>3928</v>
      </c>
      <c r="G63" s="2">
        <v>7.3999999999999996E-2</v>
      </c>
      <c r="H63" s="2">
        <v>12</v>
      </c>
      <c r="I63" s="2">
        <v>86.5</v>
      </c>
      <c r="J63" s="2">
        <v>1.64</v>
      </c>
      <c r="K63" s="2">
        <v>0</v>
      </c>
      <c r="L63" s="2">
        <v>3.8</v>
      </c>
      <c r="M63" s="2">
        <v>615966.48</v>
      </c>
      <c r="N63" s="2">
        <v>91509.38</v>
      </c>
    </row>
    <row r="64" spans="1:14">
      <c r="A64" s="2" t="s">
        <v>37</v>
      </c>
      <c r="B64" s="3">
        <v>45717</v>
      </c>
      <c r="C64" s="2" t="s">
        <v>24</v>
      </c>
      <c r="D64" s="2" t="s">
        <v>18</v>
      </c>
      <c r="E64" s="2">
        <v>50343.19</v>
      </c>
      <c r="F64" s="2">
        <v>3845</v>
      </c>
      <c r="G64" s="2">
        <v>0.113</v>
      </c>
      <c r="H64" s="2">
        <v>9</v>
      </c>
      <c r="I64" s="2">
        <v>88.7</v>
      </c>
      <c r="J64" s="2">
        <v>5.15</v>
      </c>
      <c r="K64" s="2">
        <v>0</v>
      </c>
      <c r="L64" s="2">
        <v>3.3</v>
      </c>
      <c r="M64" s="2">
        <v>572011.19999999995</v>
      </c>
      <c r="N64" s="2">
        <v>101409.68</v>
      </c>
    </row>
    <row r="65" spans="1:14">
      <c r="A65" s="2" t="s">
        <v>37</v>
      </c>
      <c r="B65" s="3">
        <v>45748</v>
      </c>
      <c r="C65" s="2" t="s">
        <v>24</v>
      </c>
      <c r="D65" s="2" t="s">
        <v>18</v>
      </c>
      <c r="E65" s="2">
        <v>74954.47</v>
      </c>
      <c r="F65" s="2">
        <v>6620</v>
      </c>
      <c r="G65" s="2">
        <v>5.3999999999999999E-2</v>
      </c>
      <c r="H65" s="2">
        <v>17</v>
      </c>
      <c r="I65" s="2">
        <v>91.1</v>
      </c>
      <c r="J65" s="2">
        <v>1.1100000000000001</v>
      </c>
      <c r="K65" s="2">
        <v>0</v>
      </c>
      <c r="L65" s="2">
        <v>3.5</v>
      </c>
      <c r="M65" s="2">
        <v>761860.19</v>
      </c>
      <c r="N65" s="2">
        <v>133279.38</v>
      </c>
    </row>
    <row r="66" spans="1:14">
      <c r="A66" s="2" t="s">
        <v>38</v>
      </c>
      <c r="B66" s="3">
        <v>45658</v>
      </c>
      <c r="C66" s="2" t="s">
        <v>27</v>
      </c>
      <c r="D66" s="2" t="s">
        <v>18</v>
      </c>
      <c r="E66" s="2">
        <v>70040.31</v>
      </c>
      <c r="F66" s="2">
        <v>9175</v>
      </c>
      <c r="G66" s="2">
        <v>0.107</v>
      </c>
      <c r="H66" s="2">
        <v>23</v>
      </c>
      <c r="I66" s="2">
        <v>95.1</v>
      </c>
      <c r="J66" s="2">
        <v>6.08</v>
      </c>
      <c r="K66" s="2">
        <v>1</v>
      </c>
      <c r="L66" s="2">
        <v>3.4</v>
      </c>
      <c r="M66" s="2">
        <v>784502.68</v>
      </c>
      <c r="N66" s="2">
        <v>129519.72</v>
      </c>
    </row>
    <row r="67" spans="1:14">
      <c r="A67" s="2" t="s">
        <v>38</v>
      </c>
      <c r="B67" s="3">
        <v>45689</v>
      </c>
      <c r="C67" s="2" t="s">
        <v>27</v>
      </c>
      <c r="D67" s="2" t="s">
        <v>18</v>
      </c>
      <c r="E67" s="2">
        <v>51148.69</v>
      </c>
      <c r="F67" s="2">
        <v>7940</v>
      </c>
      <c r="G67" s="2">
        <v>0.156</v>
      </c>
      <c r="H67" s="2">
        <v>18</v>
      </c>
      <c r="I67" s="2">
        <v>93.3</v>
      </c>
      <c r="J67" s="2">
        <v>10.91</v>
      </c>
      <c r="K67" s="2">
        <v>0</v>
      </c>
      <c r="L67" s="2">
        <v>3.6</v>
      </c>
      <c r="M67" s="2">
        <v>717141.55</v>
      </c>
      <c r="N67" s="2">
        <v>134013.60999999999</v>
      </c>
    </row>
    <row r="68" spans="1:14">
      <c r="A68" s="2" t="s">
        <v>38</v>
      </c>
      <c r="B68" s="3">
        <v>45717</v>
      </c>
      <c r="C68" s="2" t="s">
        <v>27</v>
      </c>
      <c r="D68" s="2" t="s">
        <v>18</v>
      </c>
      <c r="E68" s="2">
        <v>79346.100000000006</v>
      </c>
      <c r="F68" s="2">
        <v>9628</v>
      </c>
      <c r="G68" s="2">
        <v>0.10199999999999999</v>
      </c>
      <c r="H68" s="2">
        <v>20</v>
      </c>
      <c r="I68" s="2">
        <v>99</v>
      </c>
      <c r="J68" s="2">
        <v>19.010000000000002</v>
      </c>
      <c r="K68" s="2">
        <v>1</v>
      </c>
      <c r="L68" s="2">
        <v>3.2</v>
      </c>
      <c r="M68" s="2">
        <v>685379.08</v>
      </c>
      <c r="N68" s="2">
        <v>106898.82</v>
      </c>
    </row>
    <row r="69" spans="1:14">
      <c r="A69" s="2" t="s">
        <v>38</v>
      </c>
      <c r="B69" s="3">
        <v>45748</v>
      </c>
      <c r="C69" s="2" t="s">
        <v>27</v>
      </c>
      <c r="D69" s="2" t="s">
        <v>18</v>
      </c>
      <c r="E69" s="2">
        <v>42018.400000000001</v>
      </c>
      <c r="F69" s="2">
        <v>8296</v>
      </c>
      <c r="G69" s="2">
        <v>0.115</v>
      </c>
      <c r="H69" s="2">
        <v>17</v>
      </c>
      <c r="I69" s="2">
        <v>91.8</v>
      </c>
      <c r="J69" s="2">
        <v>0.77</v>
      </c>
      <c r="K69" s="2">
        <v>0</v>
      </c>
      <c r="L69" s="2">
        <v>3.4</v>
      </c>
      <c r="M69" s="2">
        <v>740496.65</v>
      </c>
      <c r="N69" s="2">
        <v>128020.9</v>
      </c>
    </row>
    <row r="70" spans="1:14">
      <c r="A70" s="2" t="s">
        <v>39</v>
      </c>
      <c r="B70" s="3">
        <v>45658</v>
      </c>
      <c r="C70" s="2" t="s">
        <v>15</v>
      </c>
      <c r="D70" s="2" t="s">
        <v>18</v>
      </c>
      <c r="E70" s="2">
        <v>70937.240000000005</v>
      </c>
      <c r="F70" s="2">
        <v>3595</v>
      </c>
      <c r="G70" s="2">
        <v>0.14099999999999999</v>
      </c>
      <c r="H70" s="2">
        <v>11</v>
      </c>
      <c r="I70" s="2">
        <v>88.9</v>
      </c>
      <c r="J70" s="2">
        <v>2.83</v>
      </c>
      <c r="K70" s="2">
        <v>1</v>
      </c>
      <c r="L70" s="2">
        <v>3.3</v>
      </c>
      <c r="M70" s="2">
        <v>661927.14</v>
      </c>
      <c r="N70" s="2">
        <v>79218.570000000007</v>
      </c>
    </row>
    <row r="71" spans="1:14">
      <c r="A71" s="2" t="s">
        <v>39</v>
      </c>
      <c r="B71" s="3">
        <v>45689</v>
      </c>
      <c r="C71" s="2" t="s">
        <v>15</v>
      </c>
      <c r="D71" s="2" t="s">
        <v>18</v>
      </c>
      <c r="E71" s="2">
        <v>36813.449999999997</v>
      </c>
      <c r="F71" s="2">
        <v>2834</v>
      </c>
      <c r="G71" s="2">
        <v>0.191</v>
      </c>
      <c r="H71" s="2">
        <v>11</v>
      </c>
      <c r="I71" s="2">
        <v>81.8</v>
      </c>
      <c r="J71" s="2">
        <v>2.33</v>
      </c>
      <c r="K71" s="2">
        <v>0</v>
      </c>
      <c r="L71" s="2">
        <v>3.3</v>
      </c>
      <c r="M71" s="2">
        <v>479050.5</v>
      </c>
      <c r="N71" s="2">
        <v>53651.11</v>
      </c>
    </row>
    <row r="72" spans="1:14">
      <c r="A72" s="2" t="s">
        <v>39</v>
      </c>
      <c r="B72" s="3">
        <v>45717</v>
      </c>
      <c r="C72" s="2" t="s">
        <v>15</v>
      </c>
      <c r="D72" s="2" t="s">
        <v>18</v>
      </c>
      <c r="E72" s="2">
        <v>60571.82</v>
      </c>
      <c r="F72" s="2">
        <v>3193</v>
      </c>
      <c r="G72" s="2">
        <v>0.19700000000000001</v>
      </c>
      <c r="H72" s="2">
        <v>7</v>
      </c>
      <c r="I72" s="2">
        <v>99</v>
      </c>
      <c r="J72" s="2">
        <v>1.43</v>
      </c>
      <c r="K72" s="2">
        <v>0</v>
      </c>
      <c r="L72" s="2">
        <v>3.2</v>
      </c>
      <c r="M72" s="2">
        <v>605023.87</v>
      </c>
      <c r="N72" s="2">
        <v>98545.81</v>
      </c>
    </row>
    <row r="73" spans="1:14">
      <c r="A73" s="2" t="s">
        <v>39</v>
      </c>
      <c r="B73" s="3">
        <v>45748</v>
      </c>
      <c r="C73" s="2" t="s">
        <v>15</v>
      </c>
      <c r="D73" s="2" t="s">
        <v>18</v>
      </c>
      <c r="E73" s="2">
        <v>55081.16</v>
      </c>
      <c r="F73" s="2">
        <v>5485</v>
      </c>
      <c r="G73" s="2">
        <v>3.5999999999999997E-2</v>
      </c>
      <c r="H73" s="2">
        <v>12</v>
      </c>
      <c r="I73" s="2">
        <v>88</v>
      </c>
      <c r="J73" s="2"/>
      <c r="K73" s="2">
        <v>0</v>
      </c>
      <c r="L73" s="2">
        <v>3.5</v>
      </c>
      <c r="M73" s="2">
        <v>674774.09</v>
      </c>
      <c r="N73" s="2">
        <v>141917.59</v>
      </c>
    </row>
    <row r="74" spans="1:14">
      <c r="A74" s="2" t="s">
        <v>40</v>
      </c>
      <c r="B74" s="3">
        <v>45658</v>
      </c>
      <c r="C74" s="2" t="s">
        <v>15</v>
      </c>
      <c r="D74" s="2" t="s">
        <v>16</v>
      </c>
      <c r="E74" s="2">
        <v>46201.46</v>
      </c>
      <c r="F74" s="2">
        <v>5918</v>
      </c>
      <c r="G74" s="2">
        <v>0.27700000000000002</v>
      </c>
      <c r="H74" s="2">
        <v>13</v>
      </c>
      <c r="I74" s="2">
        <v>78.8</v>
      </c>
      <c r="J74" s="2">
        <v>4.91</v>
      </c>
      <c r="K74" s="2">
        <v>0</v>
      </c>
      <c r="L74" s="2">
        <v>4.5</v>
      </c>
      <c r="M74" s="2">
        <v>616069.41</v>
      </c>
      <c r="N74" s="2">
        <v>54453.99</v>
      </c>
    </row>
    <row r="75" spans="1:14">
      <c r="A75" s="2" t="s">
        <v>40</v>
      </c>
      <c r="B75" s="3">
        <v>45689</v>
      </c>
      <c r="C75" s="2" t="s">
        <v>15</v>
      </c>
      <c r="D75" s="2" t="s">
        <v>16</v>
      </c>
      <c r="E75" s="2">
        <v>53762.92</v>
      </c>
      <c r="F75" s="2">
        <v>6821</v>
      </c>
      <c r="G75" s="2">
        <v>6.6000000000000003E-2</v>
      </c>
      <c r="H75" s="2">
        <v>19</v>
      </c>
      <c r="I75" s="2">
        <v>94.6</v>
      </c>
      <c r="J75" s="2">
        <v>7.03</v>
      </c>
      <c r="K75" s="2">
        <v>0</v>
      </c>
      <c r="L75" s="2">
        <v>4.4000000000000004</v>
      </c>
      <c r="M75" s="2">
        <v>630829.93999999994</v>
      </c>
      <c r="N75" s="2">
        <v>117090.02</v>
      </c>
    </row>
    <row r="76" spans="1:14">
      <c r="A76" s="2" t="s">
        <v>40</v>
      </c>
      <c r="B76" s="3">
        <v>45717</v>
      </c>
      <c r="C76" s="2" t="s">
        <v>15</v>
      </c>
      <c r="D76" s="2" t="s">
        <v>16</v>
      </c>
      <c r="E76" s="2">
        <v>70144.78</v>
      </c>
      <c r="F76" s="2">
        <v>6806</v>
      </c>
      <c r="G76" s="2">
        <v>0.17799999999999999</v>
      </c>
      <c r="H76" s="2">
        <v>20</v>
      </c>
      <c r="I76" s="2">
        <v>93.1</v>
      </c>
      <c r="J76" s="2">
        <v>0.28000000000000003</v>
      </c>
      <c r="K76" s="2">
        <v>1</v>
      </c>
      <c r="L76" s="2">
        <v>4.3</v>
      </c>
      <c r="M76" s="2">
        <v>788087.68</v>
      </c>
      <c r="N76" s="2">
        <v>116803.42</v>
      </c>
    </row>
    <row r="77" spans="1:14">
      <c r="A77" s="2" t="s">
        <v>40</v>
      </c>
      <c r="B77" s="3">
        <v>45748</v>
      </c>
      <c r="C77" s="2" t="s">
        <v>15</v>
      </c>
      <c r="D77" s="2" t="s">
        <v>16</v>
      </c>
      <c r="E77" s="2">
        <v>58749.63</v>
      </c>
      <c r="F77" s="2">
        <v>8252</v>
      </c>
      <c r="G77" s="2">
        <v>0.20300000000000001</v>
      </c>
      <c r="H77" s="2">
        <v>20</v>
      </c>
      <c r="I77" s="2">
        <v>85.2</v>
      </c>
      <c r="J77" s="2">
        <v>3.61</v>
      </c>
      <c r="K77" s="2">
        <v>0</v>
      </c>
      <c r="L77" s="2">
        <v>4.5</v>
      </c>
      <c r="M77" s="2">
        <v>680840.36</v>
      </c>
      <c r="N77" s="2">
        <v>68007.679999999993</v>
      </c>
    </row>
    <row r="78" spans="1:14">
      <c r="A78" s="2" t="s">
        <v>41</v>
      </c>
      <c r="B78" s="3">
        <v>45658</v>
      </c>
      <c r="C78" s="2" t="s">
        <v>24</v>
      </c>
      <c r="D78" s="2" t="s">
        <v>18</v>
      </c>
      <c r="E78" s="2">
        <v>56973.18</v>
      </c>
      <c r="F78" s="2">
        <v>6662</v>
      </c>
      <c r="G78" s="2">
        <v>0.1</v>
      </c>
      <c r="H78" s="2">
        <v>15</v>
      </c>
      <c r="I78" s="2">
        <v>77.7</v>
      </c>
      <c r="J78" s="2">
        <v>7.52</v>
      </c>
      <c r="K78" s="2">
        <v>1</v>
      </c>
      <c r="L78" s="2">
        <v>3.2</v>
      </c>
      <c r="M78" s="2">
        <v>643657.47</v>
      </c>
      <c r="N78" s="2">
        <v>87022.45</v>
      </c>
    </row>
    <row r="79" spans="1:14">
      <c r="A79" s="2" t="s">
        <v>41</v>
      </c>
      <c r="B79" s="3">
        <v>45689</v>
      </c>
      <c r="C79" s="2" t="s">
        <v>24</v>
      </c>
      <c r="D79" s="2" t="s">
        <v>18</v>
      </c>
      <c r="E79" s="2">
        <v>54872.82</v>
      </c>
      <c r="F79" s="2">
        <v>5962</v>
      </c>
      <c r="G79" s="2">
        <v>6.4000000000000001E-2</v>
      </c>
      <c r="H79" s="2">
        <v>12</v>
      </c>
      <c r="I79" s="2">
        <v>85.4</v>
      </c>
      <c r="J79" s="2">
        <v>2.58</v>
      </c>
      <c r="K79" s="2">
        <v>0</v>
      </c>
      <c r="L79" s="2">
        <v>2.9</v>
      </c>
      <c r="M79" s="2">
        <v>691112.6</v>
      </c>
      <c r="N79" s="2">
        <v>109212.83</v>
      </c>
    </row>
    <row r="80" spans="1:14">
      <c r="A80" s="2" t="s">
        <v>41</v>
      </c>
      <c r="B80" s="3">
        <v>45717</v>
      </c>
      <c r="C80" s="2" t="s">
        <v>24</v>
      </c>
      <c r="D80" s="2" t="s">
        <v>18</v>
      </c>
      <c r="E80" s="2">
        <v>80562.81</v>
      </c>
      <c r="F80" s="2">
        <v>7470</v>
      </c>
      <c r="G80" s="2">
        <v>0.17199999999999999</v>
      </c>
      <c r="H80" s="2">
        <v>16</v>
      </c>
      <c r="I80" s="2">
        <v>83.5</v>
      </c>
      <c r="J80" s="2">
        <v>2.29</v>
      </c>
      <c r="K80" s="2">
        <v>0</v>
      </c>
      <c r="L80" s="2">
        <v>3.3</v>
      </c>
      <c r="M80" s="2">
        <v>776922.17</v>
      </c>
      <c r="N80" s="2">
        <v>150701.93</v>
      </c>
    </row>
    <row r="81" spans="1:14">
      <c r="A81" s="2" t="s">
        <v>41</v>
      </c>
      <c r="B81" s="3">
        <v>45748</v>
      </c>
      <c r="C81" s="2" t="s">
        <v>24</v>
      </c>
      <c r="D81" s="2" t="s">
        <v>18</v>
      </c>
      <c r="E81" s="2">
        <v>77999.899999999994</v>
      </c>
      <c r="F81" s="2">
        <v>5974</v>
      </c>
      <c r="G81" s="2">
        <v>0.252</v>
      </c>
      <c r="H81" s="2">
        <v>14</v>
      </c>
      <c r="I81" s="2">
        <v>81.3</v>
      </c>
      <c r="J81" s="2">
        <v>2.39</v>
      </c>
      <c r="K81" s="2">
        <v>0</v>
      </c>
      <c r="L81" s="2">
        <v>3.2</v>
      </c>
      <c r="M81" s="2">
        <v>636561.34</v>
      </c>
      <c r="N81" s="2">
        <v>93861.06</v>
      </c>
    </row>
    <row r="82" spans="1:14">
      <c r="A82" s="2" t="s">
        <v>42</v>
      </c>
      <c r="B82" s="3">
        <v>45658</v>
      </c>
      <c r="C82" s="2" t="s">
        <v>27</v>
      </c>
      <c r="D82" s="2" t="s">
        <v>28</v>
      </c>
      <c r="E82" s="2">
        <v>60881.01</v>
      </c>
      <c r="F82" s="2">
        <v>5410</v>
      </c>
      <c r="G82" s="2">
        <v>0.17899999999999999</v>
      </c>
      <c r="H82" s="2">
        <v>15</v>
      </c>
      <c r="I82" s="2">
        <v>83.9</v>
      </c>
      <c r="J82" s="2">
        <v>5.24</v>
      </c>
      <c r="K82" s="2">
        <v>0</v>
      </c>
      <c r="L82" s="2">
        <v>4.5999999999999996</v>
      </c>
      <c r="M82" s="2">
        <v>621369.57999999996</v>
      </c>
      <c r="N82" s="2">
        <v>85493.64</v>
      </c>
    </row>
    <row r="83" spans="1:14">
      <c r="A83" s="2" t="s">
        <v>42</v>
      </c>
      <c r="B83" s="3">
        <v>45689</v>
      </c>
      <c r="C83" s="2" t="s">
        <v>27</v>
      </c>
      <c r="D83" s="2" t="s">
        <v>28</v>
      </c>
      <c r="E83" s="2">
        <v>60628.38</v>
      </c>
      <c r="F83" s="2">
        <v>4451</v>
      </c>
      <c r="G83" s="2">
        <v>9.5000000000000001E-2</v>
      </c>
      <c r="H83" s="2">
        <v>10</v>
      </c>
      <c r="I83" s="2">
        <v>89.6</v>
      </c>
      <c r="J83" s="2">
        <v>3.17</v>
      </c>
      <c r="K83" s="2">
        <v>0</v>
      </c>
      <c r="L83" s="2">
        <v>4.5999999999999996</v>
      </c>
      <c r="M83" s="2">
        <v>682208.01</v>
      </c>
      <c r="N83" s="2">
        <v>110318.84</v>
      </c>
    </row>
    <row r="84" spans="1:14">
      <c r="A84" s="2" t="s">
        <v>42</v>
      </c>
      <c r="B84" s="3">
        <v>45717</v>
      </c>
      <c r="C84" s="2" t="s">
        <v>27</v>
      </c>
      <c r="D84" s="2" t="s">
        <v>28</v>
      </c>
      <c r="E84" s="2">
        <v>72731.14</v>
      </c>
      <c r="F84" s="2">
        <v>4644</v>
      </c>
      <c r="G84" s="2">
        <v>8.4000000000000005E-2</v>
      </c>
      <c r="H84" s="2">
        <v>15</v>
      </c>
      <c r="I84" s="2">
        <v>87.1</v>
      </c>
      <c r="J84" s="2">
        <v>2.66</v>
      </c>
      <c r="K84" s="2">
        <v>0</v>
      </c>
      <c r="L84" s="2">
        <v>4.5999999999999996</v>
      </c>
      <c r="M84" s="2">
        <v>727241.86</v>
      </c>
      <c r="N84" s="2">
        <v>155810.29999999999</v>
      </c>
    </row>
    <row r="85" spans="1:14">
      <c r="A85" s="2" t="s">
        <v>42</v>
      </c>
      <c r="B85" s="3">
        <v>45748</v>
      </c>
      <c r="C85" s="2" t="s">
        <v>27</v>
      </c>
      <c r="D85" s="2" t="s">
        <v>28</v>
      </c>
      <c r="E85" s="2">
        <v>36475.71</v>
      </c>
      <c r="F85" s="2">
        <v>3559</v>
      </c>
      <c r="G85" s="2">
        <v>0.03</v>
      </c>
      <c r="H85" s="2">
        <v>8</v>
      </c>
      <c r="I85" s="2">
        <v>83.6</v>
      </c>
      <c r="J85" s="2">
        <v>1.41</v>
      </c>
      <c r="K85" s="2">
        <v>0</v>
      </c>
      <c r="L85" s="2">
        <v>4.2</v>
      </c>
      <c r="M85" s="2">
        <v>569100.78</v>
      </c>
      <c r="N85" s="2">
        <v>104808.78</v>
      </c>
    </row>
    <row r="86" spans="1:14">
      <c r="A86" s="2" t="s">
        <v>43</v>
      </c>
      <c r="B86" s="3">
        <v>45658</v>
      </c>
      <c r="C86" s="2" t="s">
        <v>27</v>
      </c>
      <c r="D86" s="2" t="s">
        <v>18</v>
      </c>
      <c r="E86" s="2">
        <v>55388.11</v>
      </c>
      <c r="F86" s="2">
        <v>3091</v>
      </c>
      <c r="G86" s="2">
        <v>0.108</v>
      </c>
      <c r="H86" s="2">
        <v>7</v>
      </c>
      <c r="I86" s="2">
        <v>85.4</v>
      </c>
      <c r="J86" s="2">
        <v>7.34</v>
      </c>
      <c r="K86" s="2">
        <v>0</v>
      </c>
      <c r="L86" s="2">
        <v>4.9000000000000004</v>
      </c>
      <c r="M86" s="2">
        <v>574436.29</v>
      </c>
      <c r="N86" s="2">
        <v>80271.990000000005</v>
      </c>
    </row>
    <row r="87" spans="1:14">
      <c r="A87" s="2" t="s">
        <v>43</v>
      </c>
      <c r="B87" s="3">
        <v>45689</v>
      </c>
      <c r="C87" s="2" t="s">
        <v>27</v>
      </c>
      <c r="D87" s="2" t="s">
        <v>18</v>
      </c>
      <c r="E87" s="2">
        <v>88443.77</v>
      </c>
      <c r="F87" s="2">
        <v>4004</v>
      </c>
      <c r="G87" s="2">
        <v>0.20599999999999999</v>
      </c>
      <c r="H87" s="2">
        <v>11</v>
      </c>
      <c r="I87" s="2">
        <v>91.9</v>
      </c>
      <c r="J87" s="2">
        <v>5.95</v>
      </c>
      <c r="K87" s="2">
        <v>0</v>
      </c>
      <c r="L87" s="2"/>
      <c r="M87" s="2">
        <v>611766.72</v>
      </c>
      <c r="N87" s="2">
        <v>88275.61</v>
      </c>
    </row>
    <row r="88" spans="1:14">
      <c r="A88" s="2" t="s">
        <v>43</v>
      </c>
      <c r="B88" s="3">
        <v>45717</v>
      </c>
      <c r="C88" s="2" t="s">
        <v>27</v>
      </c>
      <c r="D88" s="2" t="s">
        <v>18</v>
      </c>
      <c r="E88" s="2">
        <v>78231.91</v>
      </c>
      <c r="F88" s="2">
        <v>3788</v>
      </c>
      <c r="G88" s="2">
        <v>5.8999999999999997E-2</v>
      </c>
      <c r="H88" s="2">
        <v>11</v>
      </c>
      <c r="I88" s="2">
        <v>88.5</v>
      </c>
      <c r="J88" s="2">
        <v>15.51</v>
      </c>
      <c r="K88" s="2">
        <v>0</v>
      </c>
      <c r="L88" s="2">
        <v>4.3</v>
      </c>
      <c r="M88" s="2">
        <v>614596.31999999995</v>
      </c>
      <c r="N88" s="2">
        <v>131199.41</v>
      </c>
    </row>
    <row r="89" spans="1:14">
      <c r="A89" s="2" t="s">
        <v>43</v>
      </c>
      <c r="B89" s="3">
        <v>45748</v>
      </c>
      <c r="C89" s="2" t="s">
        <v>27</v>
      </c>
      <c r="D89" s="2" t="s">
        <v>18</v>
      </c>
      <c r="E89" s="2">
        <v>18996.32</v>
      </c>
      <c r="F89" s="2">
        <v>1260</v>
      </c>
      <c r="G89" s="2">
        <v>0.14499999999999999</v>
      </c>
      <c r="H89" s="2">
        <v>9</v>
      </c>
      <c r="I89" s="2">
        <v>86.4</v>
      </c>
      <c r="J89" s="2">
        <v>4.3099999999999996</v>
      </c>
      <c r="K89" s="2">
        <v>0</v>
      </c>
      <c r="L89" s="2">
        <v>4.5999999999999996</v>
      </c>
      <c r="M89" s="2">
        <v>450711.92</v>
      </c>
      <c r="N89" s="2">
        <v>90043.76</v>
      </c>
    </row>
    <row r="90" spans="1:14">
      <c r="A90" s="2" t="s">
        <v>44</v>
      </c>
      <c r="B90" s="3">
        <v>45658</v>
      </c>
      <c r="C90" s="2" t="s">
        <v>24</v>
      </c>
      <c r="D90" s="2" t="s">
        <v>28</v>
      </c>
      <c r="E90" s="2">
        <v>50517.94</v>
      </c>
      <c r="F90" s="2">
        <v>7024</v>
      </c>
      <c r="G90" s="2">
        <v>2.9000000000000001E-2</v>
      </c>
      <c r="H90" s="2">
        <v>18</v>
      </c>
      <c r="I90" s="2">
        <v>79.2</v>
      </c>
      <c r="J90" s="2">
        <v>6.61</v>
      </c>
      <c r="K90" s="2">
        <v>1</v>
      </c>
      <c r="L90" s="2">
        <v>4.0999999999999996</v>
      </c>
      <c r="M90" s="2">
        <v>711213.46</v>
      </c>
      <c r="N90" s="2">
        <v>105863.26</v>
      </c>
    </row>
    <row r="91" spans="1:14">
      <c r="A91" s="2" t="s">
        <v>44</v>
      </c>
      <c r="B91" s="3">
        <v>45689</v>
      </c>
      <c r="C91" s="2" t="s">
        <v>24</v>
      </c>
      <c r="D91" s="2" t="s">
        <v>28</v>
      </c>
      <c r="E91" s="2">
        <v>141540.29</v>
      </c>
      <c r="F91" s="2">
        <v>5400</v>
      </c>
      <c r="G91" s="2">
        <v>1.2999999999999999E-2</v>
      </c>
      <c r="H91" s="2">
        <v>12</v>
      </c>
      <c r="I91" s="2">
        <v>87</v>
      </c>
      <c r="J91" s="2">
        <v>4.26</v>
      </c>
      <c r="K91" s="2">
        <v>0</v>
      </c>
      <c r="L91" s="2">
        <v>4.5</v>
      </c>
      <c r="M91" s="2">
        <v>627171.9</v>
      </c>
      <c r="N91" s="2">
        <v>105772.75</v>
      </c>
    </row>
    <row r="92" spans="1:14">
      <c r="A92" s="2" t="s">
        <v>44</v>
      </c>
      <c r="B92" s="3">
        <v>45717</v>
      </c>
      <c r="C92" s="2" t="s">
        <v>24</v>
      </c>
      <c r="D92" s="2" t="s">
        <v>28</v>
      </c>
      <c r="E92" s="2">
        <v>82116.19</v>
      </c>
      <c r="F92" s="2">
        <v>5988</v>
      </c>
      <c r="G92" s="2">
        <v>0.04</v>
      </c>
      <c r="H92" s="2">
        <v>17</v>
      </c>
      <c r="I92" s="2">
        <v>91.8</v>
      </c>
      <c r="J92" s="2">
        <v>5.75</v>
      </c>
      <c r="K92" s="2">
        <v>0</v>
      </c>
      <c r="L92" s="2">
        <v>4.7</v>
      </c>
      <c r="M92" s="2">
        <v>739852.58</v>
      </c>
      <c r="N92" s="2">
        <v>129386.43</v>
      </c>
    </row>
    <row r="93" spans="1:14">
      <c r="A93" s="2" t="s">
        <v>44</v>
      </c>
      <c r="B93" s="3">
        <v>45748</v>
      </c>
      <c r="C93" s="2" t="s">
        <v>24</v>
      </c>
      <c r="D93" s="2" t="s">
        <v>28</v>
      </c>
      <c r="E93" s="2">
        <v>31207.51</v>
      </c>
      <c r="F93" s="2">
        <v>3701</v>
      </c>
      <c r="G93" s="2">
        <v>4.2999999999999997E-2</v>
      </c>
      <c r="H93" s="2">
        <v>11</v>
      </c>
      <c r="I93" s="2">
        <v>84.7</v>
      </c>
      <c r="J93" s="2">
        <v>0.33</v>
      </c>
      <c r="K93" s="2">
        <v>0</v>
      </c>
      <c r="L93" s="2">
        <v>4.3</v>
      </c>
      <c r="M93" s="2">
        <v>586307.22</v>
      </c>
      <c r="N93" s="2">
        <v>73927.850000000006</v>
      </c>
    </row>
    <row r="94" spans="1:14">
      <c r="A94" s="2" t="s">
        <v>45</v>
      </c>
      <c r="B94" s="3">
        <v>45658</v>
      </c>
      <c r="C94" s="2" t="s">
        <v>27</v>
      </c>
      <c r="D94" s="2" t="s">
        <v>16</v>
      </c>
      <c r="E94" s="2">
        <v>38966.589999999997</v>
      </c>
      <c r="F94" s="2">
        <v>4509</v>
      </c>
      <c r="G94" s="2">
        <v>0.19400000000000001</v>
      </c>
      <c r="H94" s="2">
        <v>14</v>
      </c>
      <c r="I94" s="2">
        <v>91.1</v>
      </c>
      <c r="J94" s="2">
        <v>2.92</v>
      </c>
      <c r="K94" s="2">
        <v>0</v>
      </c>
      <c r="L94" s="2">
        <v>4.5999999999999996</v>
      </c>
      <c r="M94" s="2">
        <v>585937.48</v>
      </c>
      <c r="N94" s="2">
        <v>82624.2</v>
      </c>
    </row>
    <row r="95" spans="1:14">
      <c r="A95" s="2" t="s">
        <v>45</v>
      </c>
      <c r="B95" s="3">
        <v>45689</v>
      </c>
      <c r="C95" s="2" t="s">
        <v>27</v>
      </c>
      <c r="D95" s="2" t="s">
        <v>16</v>
      </c>
      <c r="E95" s="2">
        <v>67439.3</v>
      </c>
      <c r="F95" s="2">
        <v>6477</v>
      </c>
      <c r="G95" s="2">
        <v>0</v>
      </c>
      <c r="H95" s="2">
        <v>16</v>
      </c>
      <c r="I95" s="2">
        <v>90.9</v>
      </c>
      <c r="J95" s="2">
        <v>1.64</v>
      </c>
      <c r="K95" s="2">
        <v>0</v>
      </c>
      <c r="L95" s="2">
        <v>4.5</v>
      </c>
      <c r="M95" s="2">
        <v>753473.55</v>
      </c>
      <c r="N95" s="2">
        <v>151527.22</v>
      </c>
    </row>
    <row r="96" spans="1:14">
      <c r="A96" s="2" t="s">
        <v>45</v>
      </c>
      <c r="B96" s="3">
        <v>45717</v>
      </c>
      <c r="C96" s="2" t="s">
        <v>27</v>
      </c>
      <c r="D96" s="2" t="s">
        <v>16</v>
      </c>
      <c r="E96" s="2">
        <v>86421.88</v>
      </c>
      <c r="F96" s="2">
        <v>7970</v>
      </c>
      <c r="G96" s="2">
        <v>7.2999999999999995E-2</v>
      </c>
      <c r="H96" s="2">
        <v>17</v>
      </c>
      <c r="I96" s="2">
        <v>91.3</v>
      </c>
      <c r="J96" s="2">
        <v>0.8</v>
      </c>
      <c r="K96" s="2">
        <v>0</v>
      </c>
      <c r="L96" s="2">
        <v>5</v>
      </c>
      <c r="M96" s="2">
        <v>838250.32</v>
      </c>
      <c r="N96" s="2">
        <v>122939.34</v>
      </c>
    </row>
    <row r="97" spans="1:14">
      <c r="A97" s="2" t="s">
        <v>45</v>
      </c>
      <c r="B97" s="3">
        <v>45748</v>
      </c>
      <c r="C97" s="2" t="s">
        <v>27</v>
      </c>
      <c r="D97" s="2" t="s">
        <v>16</v>
      </c>
      <c r="E97" s="2">
        <v>9534.65</v>
      </c>
      <c r="F97" s="2">
        <v>6057</v>
      </c>
      <c r="G97" s="2">
        <v>7.3999999999999996E-2</v>
      </c>
      <c r="H97" s="2">
        <v>15</v>
      </c>
      <c r="I97" s="2">
        <v>94.1</v>
      </c>
      <c r="J97" s="2">
        <v>5.79</v>
      </c>
      <c r="K97" s="2">
        <v>0</v>
      </c>
      <c r="L97" s="2">
        <v>4.5</v>
      </c>
      <c r="M97" s="2">
        <v>607898.12</v>
      </c>
      <c r="N97" s="2">
        <v>135404.85</v>
      </c>
    </row>
    <row r="98" spans="1:14">
      <c r="A98" s="2" t="s">
        <v>46</v>
      </c>
      <c r="B98" s="3">
        <v>45658</v>
      </c>
      <c r="C98" s="2" t="s">
        <v>27</v>
      </c>
      <c r="D98" s="2" t="s">
        <v>28</v>
      </c>
      <c r="E98" s="2">
        <v>61132.07</v>
      </c>
      <c r="F98" s="2">
        <v>6394</v>
      </c>
      <c r="G98" s="2">
        <v>0.16300000000000001</v>
      </c>
      <c r="H98" s="2">
        <v>19</v>
      </c>
      <c r="I98" s="2">
        <v>91</v>
      </c>
      <c r="J98" s="2">
        <v>19.600000000000001</v>
      </c>
      <c r="K98" s="2">
        <v>0</v>
      </c>
      <c r="L98" s="2">
        <v>4.4000000000000004</v>
      </c>
      <c r="M98" s="2">
        <v>691113.62</v>
      </c>
      <c r="N98" s="2">
        <v>135145.44</v>
      </c>
    </row>
    <row r="99" spans="1:14">
      <c r="A99" s="2" t="s">
        <v>46</v>
      </c>
      <c r="B99" s="3">
        <v>45689</v>
      </c>
      <c r="C99" s="2" t="s">
        <v>27</v>
      </c>
      <c r="D99" s="2" t="s">
        <v>28</v>
      </c>
      <c r="E99" s="2">
        <v>78839.39</v>
      </c>
      <c r="F99" s="2">
        <v>5150</v>
      </c>
      <c r="G99" s="2">
        <v>0.17100000000000001</v>
      </c>
      <c r="H99" s="2">
        <v>13</v>
      </c>
      <c r="I99" s="2">
        <v>85.8</v>
      </c>
      <c r="J99" s="2">
        <v>7.57</v>
      </c>
      <c r="K99" s="2">
        <v>0</v>
      </c>
      <c r="L99" s="2">
        <v>4.3</v>
      </c>
      <c r="M99" s="2">
        <v>735509.4</v>
      </c>
      <c r="N99" s="2">
        <v>83895.96</v>
      </c>
    </row>
    <row r="100" spans="1:14">
      <c r="A100" s="2" t="s">
        <v>46</v>
      </c>
      <c r="B100" s="3">
        <v>45717</v>
      </c>
      <c r="C100" s="2" t="s">
        <v>27</v>
      </c>
      <c r="D100" s="2" t="s">
        <v>28</v>
      </c>
      <c r="E100" s="2">
        <v>38752.800000000003</v>
      </c>
      <c r="F100" s="2">
        <v>4712</v>
      </c>
      <c r="G100" s="2">
        <v>7.4999999999999997E-2</v>
      </c>
      <c r="H100" s="2">
        <v>15</v>
      </c>
      <c r="I100" s="2">
        <v>89.7</v>
      </c>
      <c r="J100" s="2"/>
      <c r="K100" s="2">
        <v>0</v>
      </c>
      <c r="L100" s="2">
        <v>4.3</v>
      </c>
      <c r="M100" s="2">
        <v>605775.32999999996</v>
      </c>
      <c r="N100" s="2">
        <v>107194.6</v>
      </c>
    </row>
    <row r="101" spans="1:14">
      <c r="A101" s="2" t="s">
        <v>46</v>
      </c>
      <c r="B101" s="3">
        <v>45748</v>
      </c>
      <c r="C101" s="2" t="s">
        <v>27</v>
      </c>
      <c r="D101" s="2" t="s">
        <v>28</v>
      </c>
      <c r="E101" s="2">
        <v>55101.1</v>
      </c>
      <c r="F101" s="2">
        <v>5281</v>
      </c>
      <c r="G101" s="2">
        <v>0.189</v>
      </c>
      <c r="H101" s="2">
        <v>11</v>
      </c>
      <c r="I101" s="2">
        <v>91</v>
      </c>
      <c r="J101" s="2">
        <v>2.7</v>
      </c>
      <c r="K101" s="2">
        <v>0</v>
      </c>
      <c r="L101" s="2">
        <v>4.4000000000000004</v>
      </c>
      <c r="M101" s="2">
        <v>675177.68</v>
      </c>
      <c r="N101" s="2">
        <v>105628.68</v>
      </c>
    </row>
    <row r="102" spans="1:14">
      <c r="A102" s="2" t="s">
        <v>47</v>
      </c>
      <c r="B102" s="3">
        <v>45658</v>
      </c>
      <c r="C102" s="2" t="s">
        <v>15</v>
      </c>
      <c r="D102" s="2" t="s">
        <v>28</v>
      </c>
      <c r="E102" s="2">
        <v>53084.76</v>
      </c>
      <c r="F102" s="2">
        <v>3642</v>
      </c>
      <c r="G102" s="2">
        <v>0.15</v>
      </c>
      <c r="H102" s="2">
        <v>12</v>
      </c>
      <c r="I102" s="2">
        <v>91.4</v>
      </c>
      <c r="J102" s="2">
        <v>0.2</v>
      </c>
      <c r="K102" s="2">
        <v>0</v>
      </c>
      <c r="L102" s="2">
        <v>4.4000000000000004</v>
      </c>
      <c r="M102" s="2">
        <v>635181.35</v>
      </c>
      <c r="N102" s="2">
        <v>83341.25</v>
      </c>
    </row>
    <row r="103" spans="1:14">
      <c r="A103" s="2" t="s">
        <v>47</v>
      </c>
      <c r="B103" s="3">
        <v>45689</v>
      </c>
      <c r="C103" s="2" t="s">
        <v>15</v>
      </c>
      <c r="D103" s="2" t="s">
        <v>28</v>
      </c>
      <c r="E103" s="2">
        <v>63101.59</v>
      </c>
      <c r="F103" s="2">
        <v>4373</v>
      </c>
      <c r="G103" s="2">
        <v>0.17299999999999999</v>
      </c>
      <c r="H103" s="2">
        <v>14</v>
      </c>
      <c r="I103" s="2">
        <v>90.4</v>
      </c>
      <c r="J103" s="2">
        <v>7.87</v>
      </c>
      <c r="K103" s="2">
        <v>0</v>
      </c>
      <c r="L103" s="2">
        <v>4.7</v>
      </c>
      <c r="M103" s="2">
        <v>586626.93999999994</v>
      </c>
      <c r="N103" s="2">
        <v>86498.55</v>
      </c>
    </row>
    <row r="104" spans="1:14">
      <c r="A104" s="2" t="s">
        <v>47</v>
      </c>
      <c r="B104" s="3">
        <v>45717</v>
      </c>
      <c r="C104" s="2" t="s">
        <v>15</v>
      </c>
      <c r="D104" s="2" t="s">
        <v>28</v>
      </c>
      <c r="E104" s="2">
        <v>90084.4</v>
      </c>
      <c r="F104" s="2">
        <v>6832</v>
      </c>
      <c r="G104" s="2">
        <v>0.185</v>
      </c>
      <c r="H104" s="2">
        <v>14</v>
      </c>
      <c r="I104" s="2">
        <v>80.5</v>
      </c>
      <c r="J104" s="2">
        <v>0.77</v>
      </c>
      <c r="K104" s="2">
        <v>1</v>
      </c>
      <c r="L104" s="2">
        <v>4.4000000000000004</v>
      </c>
      <c r="M104" s="2">
        <v>740102.64</v>
      </c>
      <c r="N104" s="2">
        <v>114299.07</v>
      </c>
    </row>
    <row r="105" spans="1:14">
      <c r="A105" s="2" t="s">
        <v>47</v>
      </c>
      <c r="B105" s="3">
        <v>45748</v>
      </c>
      <c r="C105" s="2" t="s">
        <v>15</v>
      </c>
      <c r="D105" s="2" t="s">
        <v>28</v>
      </c>
      <c r="E105" s="2">
        <v>32266.639999999999</v>
      </c>
      <c r="F105" s="2">
        <v>2414</v>
      </c>
      <c r="G105" s="2">
        <v>0.08</v>
      </c>
      <c r="H105" s="2">
        <v>7</v>
      </c>
      <c r="I105" s="2">
        <v>92.1</v>
      </c>
      <c r="J105" s="2">
        <v>1.48</v>
      </c>
      <c r="K105" s="2">
        <v>0</v>
      </c>
      <c r="L105" s="2">
        <v>5</v>
      </c>
      <c r="M105" s="2">
        <v>625514.04</v>
      </c>
      <c r="N105" s="2">
        <v>120685.08</v>
      </c>
    </row>
    <row r="106" spans="1:14">
      <c r="A106" s="2" t="s">
        <v>48</v>
      </c>
      <c r="B106" s="3">
        <v>45658</v>
      </c>
      <c r="C106" s="2" t="s">
        <v>27</v>
      </c>
      <c r="D106" s="2" t="s">
        <v>18</v>
      </c>
      <c r="E106" s="2">
        <v>57919.07</v>
      </c>
      <c r="F106" s="2">
        <v>7374</v>
      </c>
      <c r="G106" s="2">
        <v>0.10299999999999999</v>
      </c>
      <c r="H106" s="2">
        <v>21</v>
      </c>
      <c r="I106" s="2">
        <v>82.3</v>
      </c>
      <c r="J106" s="2">
        <v>2.87</v>
      </c>
      <c r="K106" s="2">
        <v>0</v>
      </c>
      <c r="L106" s="2">
        <v>2.9</v>
      </c>
      <c r="M106" s="2">
        <v>727227.2</v>
      </c>
      <c r="N106" s="2">
        <v>121292.01</v>
      </c>
    </row>
    <row r="107" spans="1:14">
      <c r="A107" s="2" t="s">
        <v>48</v>
      </c>
      <c r="B107" s="3">
        <v>45689</v>
      </c>
      <c r="C107" s="2" t="s">
        <v>27</v>
      </c>
      <c r="D107" s="2" t="s">
        <v>18</v>
      </c>
      <c r="E107" s="2">
        <v>74679.350000000006</v>
      </c>
      <c r="F107" s="2">
        <v>8739</v>
      </c>
      <c r="G107" s="2">
        <v>5.6000000000000001E-2</v>
      </c>
      <c r="H107" s="2">
        <v>21</v>
      </c>
      <c r="I107" s="2">
        <v>91.8</v>
      </c>
      <c r="J107" s="2">
        <v>2.83</v>
      </c>
      <c r="K107" s="2">
        <v>0</v>
      </c>
      <c r="L107" s="2">
        <v>3</v>
      </c>
      <c r="M107" s="2">
        <v>783797.89</v>
      </c>
      <c r="N107" s="2">
        <v>157620.70000000001</v>
      </c>
    </row>
    <row r="108" spans="1:14">
      <c r="A108" s="2" t="s">
        <v>48</v>
      </c>
      <c r="B108" s="3">
        <v>45717</v>
      </c>
      <c r="C108" s="2" t="s">
        <v>27</v>
      </c>
      <c r="D108" s="2" t="s">
        <v>18</v>
      </c>
      <c r="E108" s="2">
        <v>64294.23</v>
      </c>
      <c r="F108" s="2">
        <v>6992</v>
      </c>
      <c r="G108" s="2">
        <v>0.13300000000000001</v>
      </c>
      <c r="H108" s="2">
        <v>14</v>
      </c>
      <c r="I108" s="2">
        <v>94.1</v>
      </c>
      <c r="J108" s="2">
        <v>0.25</v>
      </c>
      <c r="K108" s="2">
        <v>0</v>
      </c>
      <c r="L108" s="2">
        <v>3</v>
      </c>
      <c r="M108" s="2">
        <v>795153.84</v>
      </c>
      <c r="N108" s="2">
        <v>143194.21</v>
      </c>
    </row>
    <row r="109" spans="1:14">
      <c r="A109" s="2" t="s">
        <v>48</v>
      </c>
      <c r="B109" s="3">
        <v>45748</v>
      </c>
      <c r="C109" s="2" t="s">
        <v>27</v>
      </c>
      <c r="D109" s="2" t="s">
        <v>18</v>
      </c>
      <c r="E109" s="2">
        <v>31042.03</v>
      </c>
      <c r="F109" s="2">
        <v>7107</v>
      </c>
      <c r="G109" s="2">
        <v>5.0999999999999997E-2</v>
      </c>
      <c r="H109" s="2">
        <v>15</v>
      </c>
      <c r="I109" s="2">
        <v>87</v>
      </c>
      <c r="J109" s="2">
        <v>13.33</v>
      </c>
      <c r="K109" s="2">
        <v>0</v>
      </c>
      <c r="L109" s="2">
        <v>3.2</v>
      </c>
      <c r="M109" s="2">
        <v>665594.93999999994</v>
      </c>
      <c r="N109" s="2">
        <v>127597.34</v>
      </c>
    </row>
    <row r="110" spans="1:14">
      <c r="A110" s="2" t="s">
        <v>49</v>
      </c>
      <c r="B110" s="3">
        <v>45658</v>
      </c>
      <c r="C110" s="2" t="s">
        <v>15</v>
      </c>
      <c r="D110" s="2" t="s">
        <v>28</v>
      </c>
      <c r="E110" s="2">
        <v>75265.02</v>
      </c>
      <c r="F110" s="2">
        <v>6975</v>
      </c>
      <c r="G110" s="2">
        <v>0.157</v>
      </c>
      <c r="H110" s="2">
        <v>20</v>
      </c>
      <c r="I110" s="2">
        <v>73.8</v>
      </c>
      <c r="J110" s="2">
        <v>6.35</v>
      </c>
      <c r="K110" s="2">
        <v>1</v>
      </c>
      <c r="L110" s="2">
        <v>3.8</v>
      </c>
      <c r="M110" s="2">
        <v>709478.39</v>
      </c>
      <c r="N110" s="2">
        <v>71294.27</v>
      </c>
    </row>
    <row r="111" spans="1:14">
      <c r="A111" s="2" t="s">
        <v>49</v>
      </c>
      <c r="B111" s="3">
        <v>45689</v>
      </c>
      <c r="C111" s="2" t="s">
        <v>15</v>
      </c>
      <c r="D111" s="2" t="s">
        <v>28</v>
      </c>
      <c r="E111" s="2">
        <v>69411.7</v>
      </c>
      <c r="F111" s="2">
        <v>5493</v>
      </c>
      <c r="G111" s="2">
        <v>0.29199999999999998</v>
      </c>
      <c r="H111" s="2">
        <v>13</v>
      </c>
      <c r="I111" s="2">
        <v>86.5</v>
      </c>
      <c r="J111" s="2">
        <v>6.69</v>
      </c>
      <c r="K111" s="2">
        <v>0</v>
      </c>
      <c r="L111" s="2">
        <v>3.8</v>
      </c>
      <c r="M111" s="2">
        <v>664162.49</v>
      </c>
      <c r="N111" s="2">
        <v>98291.06</v>
      </c>
    </row>
    <row r="112" spans="1:14">
      <c r="A112" s="2" t="s">
        <v>49</v>
      </c>
      <c r="B112" s="3">
        <v>45717</v>
      </c>
      <c r="C112" s="2" t="s">
        <v>15</v>
      </c>
      <c r="D112" s="2" t="s">
        <v>28</v>
      </c>
      <c r="E112" s="2">
        <v>51056.15</v>
      </c>
      <c r="F112" s="2">
        <v>5686</v>
      </c>
      <c r="G112" s="2">
        <v>8.8999999999999996E-2</v>
      </c>
      <c r="H112" s="2">
        <v>13</v>
      </c>
      <c r="I112" s="2">
        <v>89.9</v>
      </c>
      <c r="J112" s="2">
        <v>1.28</v>
      </c>
      <c r="K112" s="2">
        <v>0</v>
      </c>
      <c r="L112" s="2">
        <v>4.2</v>
      </c>
      <c r="M112" s="2">
        <v>633494.21</v>
      </c>
      <c r="N112" s="2">
        <v>105739.47</v>
      </c>
    </row>
    <row r="113" spans="1:14">
      <c r="A113" s="2" t="s">
        <v>49</v>
      </c>
      <c r="B113" s="3">
        <v>45748</v>
      </c>
      <c r="C113" s="2" t="s">
        <v>15</v>
      </c>
      <c r="D113" s="2" t="s">
        <v>28</v>
      </c>
      <c r="E113" s="2">
        <v>52758.01</v>
      </c>
      <c r="F113" s="2">
        <v>4063</v>
      </c>
      <c r="G113" s="2">
        <v>5.7000000000000002E-2</v>
      </c>
      <c r="H113" s="2">
        <v>12</v>
      </c>
      <c r="I113" s="2">
        <v>91.7</v>
      </c>
      <c r="J113" s="2">
        <v>0.92</v>
      </c>
      <c r="K113" s="2">
        <v>0</v>
      </c>
      <c r="L113" s="2">
        <v>3.5</v>
      </c>
      <c r="M113" s="2">
        <v>713611.16</v>
      </c>
      <c r="N113" s="2">
        <v>129717.18</v>
      </c>
    </row>
    <row r="114" spans="1:14">
      <c r="A114" s="2" t="s">
        <v>50</v>
      </c>
      <c r="B114" s="3">
        <v>45658</v>
      </c>
      <c r="C114" s="2" t="s">
        <v>27</v>
      </c>
      <c r="D114" s="2" t="s">
        <v>28</v>
      </c>
      <c r="E114" s="2">
        <v>61426.04</v>
      </c>
      <c r="F114" s="2">
        <v>8966</v>
      </c>
      <c r="G114" s="2">
        <v>0.17299999999999999</v>
      </c>
      <c r="H114" s="2">
        <v>22</v>
      </c>
      <c r="I114" s="2">
        <v>76.400000000000006</v>
      </c>
      <c r="J114" s="2">
        <v>1.05</v>
      </c>
      <c r="K114" s="2">
        <v>0</v>
      </c>
      <c r="L114" s="2">
        <v>3.1</v>
      </c>
      <c r="M114" s="2">
        <v>778397.97</v>
      </c>
      <c r="N114" s="2">
        <v>120044.41</v>
      </c>
    </row>
    <row r="115" spans="1:14">
      <c r="A115" s="2" t="s">
        <v>50</v>
      </c>
      <c r="B115" s="3">
        <v>45689</v>
      </c>
      <c r="C115" s="2" t="s">
        <v>27</v>
      </c>
      <c r="D115" s="2" t="s">
        <v>28</v>
      </c>
      <c r="E115" s="2">
        <v>80176.34</v>
      </c>
      <c r="F115" s="2">
        <v>9489</v>
      </c>
      <c r="G115" s="2">
        <v>0.14199999999999999</v>
      </c>
      <c r="H115" s="2">
        <v>22</v>
      </c>
      <c r="I115" s="2">
        <v>94.3</v>
      </c>
      <c r="J115" s="2">
        <v>2.67</v>
      </c>
      <c r="K115" s="2">
        <v>0</v>
      </c>
      <c r="L115" s="2">
        <v>3.5</v>
      </c>
      <c r="M115" s="2">
        <v>873380.02</v>
      </c>
      <c r="N115" s="2">
        <v>149734.76</v>
      </c>
    </row>
    <row r="116" spans="1:14">
      <c r="A116" s="2" t="s">
        <v>50</v>
      </c>
      <c r="B116" s="3">
        <v>45717</v>
      </c>
      <c r="C116" s="2" t="s">
        <v>27</v>
      </c>
      <c r="D116" s="2" t="s">
        <v>28</v>
      </c>
      <c r="E116" s="2">
        <v>33605.18</v>
      </c>
      <c r="F116" s="2">
        <v>9225</v>
      </c>
      <c r="G116" s="2">
        <v>0.159</v>
      </c>
      <c r="H116" s="2">
        <v>23</v>
      </c>
      <c r="I116" s="2">
        <v>88.4</v>
      </c>
      <c r="J116" s="2">
        <v>5.91</v>
      </c>
      <c r="K116" s="2">
        <v>0</v>
      </c>
      <c r="L116" s="2">
        <v>2.8</v>
      </c>
      <c r="M116" s="2">
        <v>697287.9</v>
      </c>
      <c r="N116" s="2">
        <v>128208.33</v>
      </c>
    </row>
    <row r="117" spans="1:14">
      <c r="A117" s="2" t="s">
        <v>50</v>
      </c>
      <c r="B117" s="3">
        <v>45748</v>
      </c>
      <c r="C117" s="2" t="s">
        <v>27</v>
      </c>
      <c r="D117" s="2" t="s">
        <v>28</v>
      </c>
      <c r="E117" s="2">
        <v>25990.54</v>
      </c>
      <c r="F117" s="2">
        <v>9249</v>
      </c>
      <c r="G117" s="2">
        <v>0.13900000000000001</v>
      </c>
      <c r="H117" s="2">
        <v>23</v>
      </c>
      <c r="I117" s="2">
        <v>92.5</v>
      </c>
      <c r="J117" s="2">
        <v>6.37</v>
      </c>
      <c r="K117" s="2">
        <v>0</v>
      </c>
      <c r="L117" s="2">
        <v>3.3</v>
      </c>
      <c r="M117" s="2">
        <v>718074.79</v>
      </c>
      <c r="N117" s="2">
        <v>115819.87</v>
      </c>
    </row>
    <row r="118" spans="1:14">
      <c r="A118" s="2" t="s">
        <v>51</v>
      </c>
      <c r="B118" s="3">
        <v>45658</v>
      </c>
      <c r="C118" s="2" t="s">
        <v>27</v>
      </c>
      <c r="D118" s="2" t="s">
        <v>16</v>
      </c>
      <c r="E118" s="2">
        <v>43685.14</v>
      </c>
      <c r="F118" s="2">
        <v>7821</v>
      </c>
      <c r="G118" s="2">
        <v>0.19</v>
      </c>
      <c r="H118" s="2">
        <v>17</v>
      </c>
      <c r="I118" s="2">
        <v>91</v>
      </c>
      <c r="J118" s="2">
        <v>2.4900000000000002</v>
      </c>
      <c r="K118" s="2">
        <v>1</v>
      </c>
      <c r="L118" s="2">
        <v>4.7</v>
      </c>
      <c r="M118" s="2">
        <v>714942.43</v>
      </c>
      <c r="N118" s="2">
        <v>94697.71</v>
      </c>
    </row>
    <row r="119" spans="1:14">
      <c r="A119" s="2" t="s">
        <v>51</v>
      </c>
      <c r="B119" s="3">
        <v>45689</v>
      </c>
      <c r="C119" s="2" t="s">
        <v>27</v>
      </c>
      <c r="D119" s="2" t="s">
        <v>16</v>
      </c>
      <c r="E119" s="2">
        <v>57360.01</v>
      </c>
      <c r="F119" s="2">
        <v>8434</v>
      </c>
      <c r="G119" s="2">
        <v>0.151</v>
      </c>
      <c r="H119" s="2">
        <v>19</v>
      </c>
      <c r="I119" s="2">
        <v>84.1</v>
      </c>
      <c r="J119" s="2">
        <v>1.56</v>
      </c>
      <c r="K119" s="2">
        <v>0</v>
      </c>
      <c r="L119" s="2">
        <v>4.7</v>
      </c>
      <c r="M119" s="2">
        <v>820519.04</v>
      </c>
      <c r="N119" s="2">
        <v>99035.88</v>
      </c>
    </row>
    <row r="120" spans="1:14">
      <c r="A120" s="2" t="s">
        <v>51</v>
      </c>
      <c r="B120" s="3">
        <v>45717</v>
      </c>
      <c r="C120" s="2" t="s">
        <v>27</v>
      </c>
      <c r="D120" s="2" t="s">
        <v>16</v>
      </c>
      <c r="E120" s="2">
        <v>42415.47</v>
      </c>
      <c r="F120" s="2">
        <v>8512</v>
      </c>
      <c r="G120" s="2">
        <v>0.13300000000000001</v>
      </c>
      <c r="H120" s="2">
        <v>18</v>
      </c>
      <c r="I120" s="2">
        <v>96.8</v>
      </c>
      <c r="J120" s="2">
        <v>14.95</v>
      </c>
      <c r="K120" s="2">
        <v>0</v>
      </c>
      <c r="L120" s="2">
        <v>4.5999999999999996</v>
      </c>
      <c r="M120" s="2">
        <v>684217.32</v>
      </c>
      <c r="N120" s="2">
        <v>136217.19</v>
      </c>
    </row>
    <row r="121" spans="1:14">
      <c r="A121" s="2" t="s">
        <v>51</v>
      </c>
      <c r="B121" s="3">
        <v>45748</v>
      </c>
      <c r="C121" s="2" t="s">
        <v>27</v>
      </c>
      <c r="D121" s="2" t="s">
        <v>16</v>
      </c>
      <c r="E121" s="2">
        <v>54968.98</v>
      </c>
      <c r="F121" s="2">
        <v>7816</v>
      </c>
      <c r="G121" s="2">
        <v>0.23200000000000001</v>
      </c>
      <c r="H121" s="2">
        <v>19</v>
      </c>
      <c r="I121" s="2">
        <v>95.7</v>
      </c>
      <c r="J121" s="2">
        <v>7.85</v>
      </c>
      <c r="K121" s="2">
        <v>0</v>
      </c>
      <c r="L121" s="2">
        <v>4.7</v>
      </c>
      <c r="M121" s="2">
        <v>735480.19</v>
      </c>
      <c r="N121" s="2">
        <v>88342.11</v>
      </c>
    </row>
    <row r="122" spans="1:14">
      <c r="A122" s="2" t="s">
        <v>52</v>
      </c>
      <c r="B122" s="3">
        <v>45658</v>
      </c>
      <c r="C122" s="2" t="s">
        <v>20</v>
      </c>
      <c r="D122" s="2" t="s">
        <v>18</v>
      </c>
      <c r="E122" s="2">
        <v>43896.13</v>
      </c>
      <c r="F122" s="2">
        <v>3853</v>
      </c>
      <c r="G122" s="2">
        <v>8.7999999999999995E-2</v>
      </c>
      <c r="H122" s="2">
        <v>13</v>
      </c>
      <c r="I122" s="2">
        <v>83</v>
      </c>
      <c r="J122" s="2">
        <v>6.8</v>
      </c>
      <c r="K122" s="2">
        <v>0</v>
      </c>
      <c r="L122" s="2">
        <v>4.4000000000000004</v>
      </c>
      <c r="M122" s="2">
        <v>509484.81</v>
      </c>
      <c r="N122" s="2">
        <v>85742.36</v>
      </c>
    </row>
    <row r="123" spans="1:14">
      <c r="A123" s="2" t="s">
        <v>52</v>
      </c>
      <c r="B123" s="3">
        <v>45689</v>
      </c>
      <c r="C123" s="2" t="s">
        <v>20</v>
      </c>
      <c r="D123" s="2" t="s">
        <v>18</v>
      </c>
      <c r="E123" s="2">
        <v>83044.17</v>
      </c>
      <c r="F123" s="2">
        <v>3694</v>
      </c>
      <c r="G123" s="2">
        <v>0</v>
      </c>
      <c r="H123" s="2">
        <v>14</v>
      </c>
      <c r="I123" s="2">
        <v>89.4</v>
      </c>
      <c r="J123" s="2">
        <v>2.2000000000000002</v>
      </c>
      <c r="K123" s="2">
        <v>0</v>
      </c>
      <c r="L123" s="2">
        <v>3.7</v>
      </c>
      <c r="M123" s="2">
        <v>654317.09</v>
      </c>
      <c r="N123" s="2">
        <v>121446.89</v>
      </c>
    </row>
    <row r="124" spans="1:14">
      <c r="A124" s="2" t="s">
        <v>52</v>
      </c>
      <c r="B124" s="3">
        <v>45717</v>
      </c>
      <c r="C124" s="2" t="s">
        <v>20</v>
      </c>
      <c r="D124" s="2" t="s">
        <v>18</v>
      </c>
      <c r="E124" s="2">
        <v>48396.13</v>
      </c>
      <c r="F124" s="2">
        <v>4423</v>
      </c>
      <c r="G124" s="2">
        <v>6.9000000000000006E-2</v>
      </c>
      <c r="H124" s="2">
        <v>15</v>
      </c>
      <c r="I124" s="2">
        <v>85.7</v>
      </c>
      <c r="J124" s="2">
        <v>1.88</v>
      </c>
      <c r="K124" s="2">
        <v>0</v>
      </c>
      <c r="L124" s="2">
        <v>3.9</v>
      </c>
      <c r="M124" s="2">
        <v>557487.26</v>
      </c>
      <c r="N124" s="2">
        <v>76432.19</v>
      </c>
    </row>
    <row r="125" spans="1:14">
      <c r="A125" s="2" t="s">
        <v>52</v>
      </c>
      <c r="B125" s="3">
        <v>45748</v>
      </c>
      <c r="C125" s="2" t="s">
        <v>20</v>
      </c>
      <c r="D125" s="2" t="s">
        <v>18</v>
      </c>
      <c r="E125" s="2">
        <v>19063.48</v>
      </c>
      <c r="F125" s="2">
        <v>1906</v>
      </c>
      <c r="G125" s="2">
        <v>0.216</v>
      </c>
      <c r="H125" s="2">
        <v>10</v>
      </c>
      <c r="I125" s="2">
        <v>97.8</v>
      </c>
      <c r="J125" s="2">
        <v>15.79</v>
      </c>
      <c r="K125" s="2">
        <v>0</v>
      </c>
      <c r="L125" s="2">
        <v>4.4000000000000004</v>
      </c>
      <c r="M125" s="2">
        <v>441275.42</v>
      </c>
      <c r="N125" s="2">
        <v>58234.87</v>
      </c>
    </row>
    <row r="126" spans="1:14">
      <c r="A126" s="2" t="s">
        <v>53</v>
      </c>
      <c r="B126" s="3">
        <v>45658</v>
      </c>
      <c r="C126" s="2" t="s">
        <v>24</v>
      </c>
      <c r="D126" s="2" t="s">
        <v>18</v>
      </c>
      <c r="E126" s="2">
        <v>61541.21</v>
      </c>
      <c r="F126" s="2">
        <v>10396</v>
      </c>
      <c r="G126" s="2">
        <v>0.123</v>
      </c>
      <c r="H126" s="2">
        <v>25</v>
      </c>
      <c r="I126" s="2">
        <v>88.1</v>
      </c>
      <c r="J126" s="2">
        <v>2.34</v>
      </c>
      <c r="K126" s="2">
        <v>1</v>
      </c>
      <c r="L126" s="2">
        <v>4.8</v>
      </c>
      <c r="M126" s="2">
        <v>914544.17</v>
      </c>
      <c r="N126" s="2">
        <v>79831.73</v>
      </c>
    </row>
    <row r="127" spans="1:14">
      <c r="A127" s="2" t="s">
        <v>53</v>
      </c>
      <c r="B127" s="3">
        <v>45689</v>
      </c>
      <c r="C127" s="2" t="s">
        <v>24</v>
      </c>
      <c r="D127" s="2" t="s">
        <v>18</v>
      </c>
      <c r="E127" s="2">
        <v>44747</v>
      </c>
      <c r="F127" s="2">
        <v>11076</v>
      </c>
      <c r="G127" s="2">
        <v>0.17599999999999999</v>
      </c>
      <c r="H127" s="2">
        <v>27</v>
      </c>
      <c r="I127" s="2">
        <v>98.3</v>
      </c>
      <c r="J127" s="2">
        <v>0.54</v>
      </c>
      <c r="K127" s="2">
        <v>0</v>
      </c>
      <c r="L127" s="2">
        <v>4.4000000000000004</v>
      </c>
      <c r="M127" s="2">
        <v>842439.67</v>
      </c>
      <c r="N127" s="2">
        <v>169983.63</v>
      </c>
    </row>
    <row r="128" spans="1:14">
      <c r="A128" s="2" t="s">
        <v>53</v>
      </c>
      <c r="B128" s="3">
        <v>45717</v>
      </c>
      <c r="C128" s="2" t="s">
        <v>24</v>
      </c>
      <c r="D128" s="2" t="s">
        <v>18</v>
      </c>
      <c r="E128" s="2">
        <v>56517.9</v>
      </c>
      <c r="F128" s="2">
        <v>9574</v>
      </c>
      <c r="G128" s="2">
        <v>0.20399999999999999</v>
      </c>
      <c r="H128" s="2">
        <v>20</v>
      </c>
      <c r="I128" s="2">
        <v>88.2</v>
      </c>
      <c r="J128" s="2">
        <v>5.37</v>
      </c>
      <c r="K128" s="2">
        <v>1</v>
      </c>
      <c r="L128" s="2">
        <v>4.9000000000000004</v>
      </c>
      <c r="M128" s="2">
        <v>842157.92</v>
      </c>
      <c r="N128" s="2">
        <v>107348.22</v>
      </c>
    </row>
    <row r="129" spans="1:14">
      <c r="A129" s="2" t="s">
        <v>53</v>
      </c>
      <c r="B129" s="3">
        <v>45748</v>
      </c>
      <c r="C129" s="2" t="s">
        <v>24</v>
      </c>
      <c r="D129" s="2" t="s">
        <v>18</v>
      </c>
      <c r="E129" s="2">
        <v>37828.5</v>
      </c>
      <c r="F129" s="2">
        <v>8221</v>
      </c>
      <c r="G129" s="2">
        <v>9.6000000000000002E-2</v>
      </c>
      <c r="H129" s="2">
        <v>19</v>
      </c>
      <c r="I129" s="2">
        <v>81.5</v>
      </c>
      <c r="J129" s="2">
        <v>3.19</v>
      </c>
      <c r="K129" s="2">
        <v>0</v>
      </c>
      <c r="L129" s="2">
        <v>4.8</v>
      </c>
      <c r="M129" s="2">
        <v>697155.3</v>
      </c>
      <c r="N129" s="2">
        <v>136408.54</v>
      </c>
    </row>
    <row r="130" spans="1:14">
      <c r="A130" s="2" t="s">
        <v>54</v>
      </c>
      <c r="B130" s="3">
        <v>45658</v>
      </c>
      <c r="C130" s="2" t="s">
        <v>15</v>
      </c>
      <c r="D130" s="2" t="s">
        <v>18</v>
      </c>
      <c r="E130" s="2">
        <v>66250.53</v>
      </c>
      <c r="F130" s="2">
        <v>10618</v>
      </c>
      <c r="G130" s="2">
        <v>0.14199999999999999</v>
      </c>
      <c r="H130" s="2">
        <v>27</v>
      </c>
      <c r="I130" s="2">
        <v>88.3</v>
      </c>
      <c r="J130" s="2">
        <v>1.1000000000000001</v>
      </c>
      <c r="K130" s="2">
        <v>1</v>
      </c>
      <c r="L130" s="2">
        <v>4.4000000000000004</v>
      </c>
      <c r="M130" s="2">
        <v>849018.3</v>
      </c>
      <c r="N130" s="2">
        <v>149035.13</v>
      </c>
    </row>
    <row r="131" spans="1:14">
      <c r="A131" s="2" t="s">
        <v>54</v>
      </c>
      <c r="B131" s="3">
        <v>45689</v>
      </c>
      <c r="C131" s="2" t="s">
        <v>15</v>
      </c>
      <c r="D131" s="2" t="s">
        <v>18</v>
      </c>
      <c r="E131" s="2">
        <v>68410.929999999993</v>
      </c>
      <c r="F131" s="2">
        <v>10596</v>
      </c>
      <c r="G131" s="2">
        <v>0.20699999999999999</v>
      </c>
      <c r="H131" s="2">
        <v>25</v>
      </c>
      <c r="I131" s="2">
        <v>81.2</v>
      </c>
      <c r="J131" s="2">
        <v>0.21</v>
      </c>
      <c r="K131" s="2">
        <v>0</v>
      </c>
      <c r="L131" s="2">
        <v>4</v>
      </c>
      <c r="M131" s="2">
        <v>801830.35</v>
      </c>
      <c r="N131" s="2">
        <v>114875.32</v>
      </c>
    </row>
    <row r="132" spans="1:14">
      <c r="A132" s="2" t="s">
        <v>54</v>
      </c>
      <c r="B132" s="3">
        <v>45717</v>
      </c>
      <c r="C132" s="2" t="s">
        <v>15</v>
      </c>
      <c r="D132" s="2" t="s">
        <v>18</v>
      </c>
      <c r="E132" s="2">
        <v>50735.63</v>
      </c>
      <c r="F132" s="2">
        <v>9619</v>
      </c>
      <c r="G132" s="2">
        <v>0.14399999999999999</v>
      </c>
      <c r="H132" s="2">
        <v>19</v>
      </c>
      <c r="I132" s="2">
        <v>93.8</v>
      </c>
      <c r="J132" s="2">
        <v>5.12</v>
      </c>
      <c r="K132" s="2">
        <v>1</v>
      </c>
      <c r="L132" s="2">
        <v>4.5</v>
      </c>
      <c r="M132" s="2">
        <v>725235.28</v>
      </c>
      <c r="N132" s="2">
        <v>121632.24</v>
      </c>
    </row>
    <row r="133" spans="1:14">
      <c r="A133" s="2" t="s">
        <v>54</v>
      </c>
      <c r="B133" s="3">
        <v>45748</v>
      </c>
      <c r="C133" s="2" t="s">
        <v>15</v>
      </c>
      <c r="D133" s="2" t="s">
        <v>18</v>
      </c>
      <c r="E133" s="2">
        <v>66455.8</v>
      </c>
      <c r="F133" s="2">
        <v>10836</v>
      </c>
      <c r="G133" s="2">
        <v>8.8999999999999996E-2</v>
      </c>
      <c r="H133" s="2">
        <v>25</v>
      </c>
      <c r="I133" s="2">
        <v>85</v>
      </c>
      <c r="J133" s="2">
        <v>9.77</v>
      </c>
      <c r="K133" s="2">
        <v>0</v>
      </c>
      <c r="L133" s="2">
        <v>4.5</v>
      </c>
      <c r="M133" s="2">
        <v>811452.72</v>
      </c>
      <c r="N133" s="2">
        <v>131325.67000000001</v>
      </c>
    </row>
    <row r="134" spans="1:14">
      <c r="A134" s="2" t="s">
        <v>55</v>
      </c>
      <c r="B134" s="3">
        <v>45658</v>
      </c>
      <c r="C134" s="2" t="s">
        <v>20</v>
      </c>
      <c r="D134" s="2" t="s">
        <v>18</v>
      </c>
      <c r="E134" s="2">
        <v>70276.28</v>
      </c>
      <c r="F134" s="2">
        <v>3043</v>
      </c>
      <c r="G134" s="2">
        <v>7.9000000000000001E-2</v>
      </c>
      <c r="H134" s="2">
        <v>9</v>
      </c>
      <c r="I134" s="2">
        <v>87.9</v>
      </c>
      <c r="J134" s="2">
        <v>3.77</v>
      </c>
      <c r="K134" s="2">
        <v>0</v>
      </c>
      <c r="L134" s="2">
        <v>4.4000000000000004</v>
      </c>
      <c r="M134" s="2">
        <v>527300.13</v>
      </c>
      <c r="N134" s="2">
        <v>84197.87</v>
      </c>
    </row>
    <row r="135" spans="1:14">
      <c r="A135" s="2" t="s">
        <v>55</v>
      </c>
      <c r="B135" s="3">
        <v>45689</v>
      </c>
      <c r="C135" s="2" t="s">
        <v>20</v>
      </c>
      <c r="D135" s="2" t="s">
        <v>18</v>
      </c>
      <c r="E135" s="2">
        <v>22071.64</v>
      </c>
      <c r="F135" s="2">
        <v>1814</v>
      </c>
      <c r="G135" s="2">
        <v>0.19600000000000001</v>
      </c>
      <c r="H135" s="2">
        <v>8</v>
      </c>
      <c r="I135" s="2">
        <v>81.099999999999994</v>
      </c>
      <c r="J135" s="2">
        <v>0.78</v>
      </c>
      <c r="K135" s="2">
        <v>0</v>
      </c>
      <c r="L135" s="2"/>
      <c r="M135" s="2">
        <v>400831.65</v>
      </c>
      <c r="N135" s="2">
        <v>70979.31</v>
      </c>
    </row>
    <row r="136" spans="1:14">
      <c r="A136" s="2" t="s">
        <v>55</v>
      </c>
      <c r="B136" s="3">
        <v>45717</v>
      </c>
      <c r="C136" s="2" t="s">
        <v>20</v>
      </c>
      <c r="D136" s="2" t="s">
        <v>18</v>
      </c>
      <c r="E136" s="2">
        <v>52285.45</v>
      </c>
      <c r="F136" s="2">
        <v>3618</v>
      </c>
      <c r="G136" s="2">
        <v>8.5999999999999993E-2</v>
      </c>
      <c r="H136" s="2">
        <v>11</v>
      </c>
      <c r="I136" s="2">
        <v>95.6</v>
      </c>
      <c r="J136" s="2">
        <v>5.17</v>
      </c>
      <c r="K136" s="2">
        <v>1</v>
      </c>
      <c r="L136" s="2">
        <v>4.4000000000000004</v>
      </c>
      <c r="M136" s="2">
        <v>593247.25</v>
      </c>
      <c r="N136" s="2">
        <v>81240.289999999994</v>
      </c>
    </row>
    <row r="137" spans="1:14">
      <c r="A137" s="2" t="s">
        <v>55</v>
      </c>
      <c r="B137" s="3">
        <v>45748</v>
      </c>
      <c r="C137" s="2" t="s">
        <v>20</v>
      </c>
      <c r="D137" s="2" t="s">
        <v>18</v>
      </c>
      <c r="E137" s="2">
        <v>70366.759999999995</v>
      </c>
      <c r="F137" s="2">
        <v>1963</v>
      </c>
      <c r="G137" s="2">
        <v>0.182</v>
      </c>
      <c r="H137" s="2">
        <v>8</v>
      </c>
      <c r="I137" s="2">
        <v>89.8</v>
      </c>
      <c r="J137" s="2">
        <v>3.2</v>
      </c>
      <c r="K137" s="2">
        <v>0</v>
      </c>
      <c r="L137" s="2">
        <v>4.5999999999999996</v>
      </c>
      <c r="M137" s="2">
        <v>529075.94999999995</v>
      </c>
      <c r="N137" s="2">
        <v>95978.83</v>
      </c>
    </row>
    <row r="138" spans="1:14">
      <c r="A138" s="2" t="s">
        <v>56</v>
      </c>
      <c r="B138" s="3">
        <v>45658</v>
      </c>
      <c r="C138" s="2" t="s">
        <v>24</v>
      </c>
      <c r="D138" s="2" t="s">
        <v>16</v>
      </c>
      <c r="E138" s="2">
        <v>71320.66</v>
      </c>
      <c r="F138" s="2">
        <v>7888</v>
      </c>
      <c r="G138" s="2">
        <v>4.8000000000000001E-2</v>
      </c>
      <c r="H138" s="2">
        <v>20</v>
      </c>
      <c r="I138" s="2">
        <v>78.099999999999994</v>
      </c>
      <c r="J138" s="2">
        <v>3.4</v>
      </c>
      <c r="K138" s="2">
        <v>0</v>
      </c>
      <c r="L138" s="2"/>
      <c r="M138" s="2">
        <v>633638.03</v>
      </c>
      <c r="N138" s="2">
        <v>99402.01</v>
      </c>
    </row>
    <row r="139" spans="1:14">
      <c r="A139" s="2" t="s">
        <v>56</v>
      </c>
      <c r="B139" s="3">
        <v>45689</v>
      </c>
      <c r="C139" s="2" t="s">
        <v>24</v>
      </c>
      <c r="D139" s="2" t="s">
        <v>16</v>
      </c>
      <c r="E139" s="2">
        <v>75109.67</v>
      </c>
      <c r="F139" s="2">
        <v>6244</v>
      </c>
      <c r="G139" s="2">
        <v>7.9000000000000001E-2</v>
      </c>
      <c r="H139" s="2">
        <v>15</v>
      </c>
      <c r="I139" s="2">
        <v>96.3</v>
      </c>
      <c r="J139" s="2">
        <v>7.38</v>
      </c>
      <c r="K139" s="2">
        <v>0</v>
      </c>
      <c r="L139" s="2">
        <v>3.7</v>
      </c>
      <c r="M139" s="2">
        <v>743348.84</v>
      </c>
      <c r="N139" s="2">
        <v>104186.09</v>
      </c>
    </row>
    <row r="140" spans="1:14">
      <c r="A140" s="2" t="s">
        <v>56</v>
      </c>
      <c r="B140" s="3">
        <v>45717</v>
      </c>
      <c r="C140" s="2" t="s">
        <v>24</v>
      </c>
      <c r="D140" s="2" t="s">
        <v>16</v>
      </c>
      <c r="E140" s="2">
        <v>69779</v>
      </c>
      <c r="F140" s="2">
        <v>6544</v>
      </c>
      <c r="G140" s="2">
        <v>0.152</v>
      </c>
      <c r="H140" s="2">
        <v>18</v>
      </c>
      <c r="I140" s="2">
        <v>90.2</v>
      </c>
      <c r="J140" s="2">
        <v>0.85</v>
      </c>
      <c r="K140" s="2">
        <v>1</v>
      </c>
      <c r="L140" s="2">
        <v>3.3</v>
      </c>
      <c r="M140" s="2">
        <v>758827.64</v>
      </c>
      <c r="N140" s="2">
        <v>161439.48000000001</v>
      </c>
    </row>
    <row r="141" spans="1:14">
      <c r="A141" s="2" t="s">
        <v>56</v>
      </c>
      <c r="B141" s="3">
        <v>45748</v>
      </c>
      <c r="C141" s="2" t="s">
        <v>24</v>
      </c>
      <c r="D141" s="2" t="s">
        <v>16</v>
      </c>
      <c r="E141" s="2">
        <v>44211.95</v>
      </c>
      <c r="F141" s="2">
        <v>5465</v>
      </c>
      <c r="G141" s="2">
        <v>0.187</v>
      </c>
      <c r="H141" s="2">
        <v>12</v>
      </c>
      <c r="I141" s="2">
        <v>90</v>
      </c>
      <c r="J141" s="2">
        <v>2.89</v>
      </c>
      <c r="K141" s="2">
        <v>0</v>
      </c>
      <c r="L141" s="2">
        <v>3.6</v>
      </c>
      <c r="M141" s="2">
        <v>646559.71</v>
      </c>
      <c r="N141" s="2">
        <v>97981.75</v>
      </c>
    </row>
    <row r="142" spans="1:14">
      <c r="A142" s="2" t="s">
        <v>57</v>
      </c>
      <c r="B142" s="3">
        <v>45658</v>
      </c>
      <c r="C142" s="2" t="s">
        <v>27</v>
      </c>
      <c r="D142" s="2" t="s">
        <v>18</v>
      </c>
      <c r="E142" s="2">
        <v>51430.31</v>
      </c>
      <c r="F142" s="2">
        <v>6427</v>
      </c>
      <c r="G142" s="2">
        <v>0.23400000000000001</v>
      </c>
      <c r="H142" s="2">
        <v>14</v>
      </c>
      <c r="I142" s="2">
        <v>88.8</v>
      </c>
      <c r="J142" s="2">
        <v>0.77</v>
      </c>
      <c r="K142" s="2">
        <v>0</v>
      </c>
      <c r="L142" s="2">
        <v>4.0999999999999996</v>
      </c>
      <c r="M142" s="2">
        <v>715890.53</v>
      </c>
      <c r="N142" s="2">
        <v>109032.15</v>
      </c>
    </row>
    <row r="143" spans="1:14">
      <c r="A143" s="2" t="s">
        <v>57</v>
      </c>
      <c r="B143" s="3">
        <v>45689</v>
      </c>
      <c r="C143" s="2" t="s">
        <v>27</v>
      </c>
      <c r="D143" s="2" t="s">
        <v>18</v>
      </c>
      <c r="E143" s="2">
        <v>45706.49</v>
      </c>
      <c r="F143" s="2">
        <v>6704</v>
      </c>
      <c r="G143" s="2">
        <v>3.7999999999999999E-2</v>
      </c>
      <c r="H143" s="2">
        <v>15</v>
      </c>
      <c r="I143" s="2">
        <v>94.2</v>
      </c>
      <c r="J143" s="2">
        <v>2.92</v>
      </c>
      <c r="K143" s="2">
        <v>0</v>
      </c>
      <c r="L143" s="2">
        <v>4.2</v>
      </c>
      <c r="M143" s="2">
        <v>715097.57</v>
      </c>
      <c r="N143" s="2">
        <v>151875.85999999999</v>
      </c>
    </row>
    <row r="144" spans="1:14">
      <c r="A144" s="2" t="s">
        <v>57</v>
      </c>
      <c r="B144" s="3">
        <v>45717</v>
      </c>
      <c r="C144" s="2" t="s">
        <v>27</v>
      </c>
      <c r="D144" s="2" t="s">
        <v>18</v>
      </c>
      <c r="E144" s="2">
        <v>44034.6</v>
      </c>
      <c r="F144" s="2">
        <v>5645</v>
      </c>
      <c r="G144" s="2">
        <v>6.9000000000000006E-2</v>
      </c>
      <c r="H144" s="2">
        <v>18</v>
      </c>
      <c r="I144" s="2">
        <v>88.5</v>
      </c>
      <c r="J144" s="2">
        <v>3.07</v>
      </c>
      <c r="K144" s="2">
        <v>0</v>
      </c>
      <c r="L144" s="2">
        <v>3.8</v>
      </c>
      <c r="M144" s="2">
        <v>682639.28</v>
      </c>
      <c r="N144" s="2">
        <v>77557.53</v>
      </c>
    </row>
    <row r="145" spans="1:14">
      <c r="A145" s="2" t="s">
        <v>57</v>
      </c>
      <c r="B145" s="3">
        <v>45748</v>
      </c>
      <c r="C145" s="2" t="s">
        <v>27</v>
      </c>
      <c r="D145" s="2" t="s">
        <v>18</v>
      </c>
      <c r="E145" s="2">
        <v>50198.12</v>
      </c>
      <c r="F145" s="2">
        <v>6089</v>
      </c>
      <c r="G145" s="2">
        <v>0.182</v>
      </c>
      <c r="H145" s="2">
        <v>19</v>
      </c>
      <c r="I145" s="2">
        <v>94</v>
      </c>
      <c r="J145" s="2">
        <v>9.6999999999999993</v>
      </c>
      <c r="K145" s="2">
        <v>0</v>
      </c>
      <c r="L145" s="2">
        <v>3.9</v>
      </c>
      <c r="M145" s="2">
        <v>695098.51</v>
      </c>
      <c r="N145" s="2">
        <v>108192.75</v>
      </c>
    </row>
    <row r="146" spans="1:14">
      <c r="A146" s="2" t="s">
        <v>58</v>
      </c>
      <c r="B146" s="3">
        <v>45658</v>
      </c>
      <c r="C146" s="2" t="s">
        <v>20</v>
      </c>
      <c r="D146" s="2" t="s">
        <v>16</v>
      </c>
      <c r="E146" s="2">
        <v>70488.2</v>
      </c>
      <c r="F146" s="2">
        <v>4312</v>
      </c>
      <c r="G146" s="2">
        <v>0.16900000000000001</v>
      </c>
      <c r="H146" s="2">
        <v>12</v>
      </c>
      <c r="I146" s="2">
        <v>90.2</v>
      </c>
      <c r="J146" s="2">
        <v>3.71</v>
      </c>
      <c r="K146" s="2">
        <v>0</v>
      </c>
      <c r="L146" s="2">
        <v>3.2</v>
      </c>
      <c r="M146" s="2">
        <v>577732.56999999995</v>
      </c>
      <c r="N146" s="2">
        <v>93804.27</v>
      </c>
    </row>
    <row r="147" spans="1:14">
      <c r="A147" s="2" t="s">
        <v>58</v>
      </c>
      <c r="B147" s="3">
        <v>45689</v>
      </c>
      <c r="C147" s="2" t="s">
        <v>20</v>
      </c>
      <c r="D147" s="2" t="s">
        <v>16</v>
      </c>
      <c r="E147" s="2">
        <v>50909.27</v>
      </c>
      <c r="F147" s="2">
        <v>3152</v>
      </c>
      <c r="G147" s="2">
        <v>0.06</v>
      </c>
      <c r="H147" s="2">
        <v>13</v>
      </c>
      <c r="I147" s="2">
        <v>93.7</v>
      </c>
      <c r="J147" s="2">
        <v>10.79</v>
      </c>
      <c r="K147" s="2">
        <v>0</v>
      </c>
      <c r="L147" s="2">
        <v>3.5</v>
      </c>
      <c r="M147" s="2">
        <v>537058.32999999996</v>
      </c>
      <c r="N147" s="2">
        <v>93555.71</v>
      </c>
    </row>
    <row r="148" spans="1:14">
      <c r="A148" s="2" t="s">
        <v>58</v>
      </c>
      <c r="B148" s="3">
        <v>45717</v>
      </c>
      <c r="C148" s="2" t="s">
        <v>20</v>
      </c>
      <c r="D148" s="2" t="s">
        <v>16</v>
      </c>
      <c r="E148" s="2">
        <v>53351.7</v>
      </c>
      <c r="F148" s="2">
        <v>4259</v>
      </c>
      <c r="G148" s="2">
        <v>0.156</v>
      </c>
      <c r="H148" s="2">
        <v>15</v>
      </c>
      <c r="I148" s="2">
        <v>93.7</v>
      </c>
      <c r="J148" s="2">
        <v>6.03</v>
      </c>
      <c r="K148" s="2">
        <v>0</v>
      </c>
      <c r="L148" s="2">
        <v>3.4</v>
      </c>
      <c r="M148" s="2">
        <v>601568.87</v>
      </c>
      <c r="N148" s="2">
        <v>91634.82</v>
      </c>
    </row>
    <row r="149" spans="1:14">
      <c r="A149" s="2" t="s">
        <v>58</v>
      </c>
      <c r="B149" s="3">
        <v>45748</v>
      </c>
      <c r="C149" s="2" t="s">
        <v>20</v>
      </c>
      <c r="D149" s="2" t="s">
        <v>16</v>
      </c>
      <c r="E149" s="2">
        <v>60322.400000000001</v>
      </c>
      <c r="F149" s="2">
        <v>3350</v>
      </c>
      <c r="G149" s="2">
        <v>0.108</v>
      </c>
      <c r="H149" s="2">
        <v>12</v>
      </c>
      <c r="I149" s="2">
        <v>89.4</v>
      </c>
      <c r="J149" s="2">
        <v>4.92</v>
      </c>
      <c r="K149" s="2">
        <v>0</v>
      </c>
      <c r="L149" s="2">
        <v>3.4</v>
      </c>
      <c r="M149" s="2">
        <v>570964.84</v>
      </c>
      <c r="N149" s="2">
        <v>81331.070000000007</v>
      </c>
    </row>
    <row r="150" spans="1:14">
      <c r="A150" s="2" t="s">
        <v>59</v>
      </c>
      <c r="B150" s="3">
        <v>45658</v>
      </c>
      <c r="C150" s="2" t="s">
        <v>24</v>
      </c>
      <c r="D150" s="2" t="s">
        <v>28</v>
      </c>
      <c r="E150" s="2">
        <v>51575.68</v>
      </c>
      <c r="F150" s="2">
        <v>5329</v>
      </c>
      <c r="G150" s="2">
        <v>4.7E-2</v>
      </c>
      <c r="H150" s="2">
        <v>17</v>
      </c>
      <c r="I150" s="2">
        <v>88.1</v>
      </c>
      <c r="J150" s="2">
        <v>19.78</v>
      </c>
      <c r="K150" s="2">
        <v>0</v>
      </c>
      <c r="L150" s="2">
        <v>3.8</v>
      </c>
      <c r="M150" s="2">
        <v>614024.91</v>
      </c>
      <c r="N150" s="2">
        <v>84828.93</v>
      </c>
    </row>
    <row r="151" spans="1:14">
      <c r="A151" s="2" t="s">
        <v>59</v>
      </c>
      <c r="B151" s="3">
        <v>45689</v>
      </c>
      <c r="C151" s="2" t="s">
        <v>24</v>
      </c>
      <c r="D151" s="2" t="s">
        <v>28</v>
      </c>
      <c r="E151" s="2">
        <v>43319.94</v>
      </c>
      <c r="F151" s="2">
        <v>6551</v>
      </c>
      <c r="G151" s="2">
        <v>4.3999999999999997E-2</v>
      </c>
      <c r="H151" s="2">
        <v>13</v>
      </c>
      <c r="I151" s="2">
        <v>99</v>
      </c>
      <c r="J151" s="2">
        <v>5.45</v>
      </c>
      <c r="K151" s="2">
        <v>0</v>
      </c>
      <c r="L151" s="2">
        <v>4.0999999999999996</v>
      </c>
      <c r="M151" s="2">
        <v>712868.35</v>
      </c>
      <c r="N151" s="2">
        <v>133650.51</v>
      </c>
    </row>
    <row r="152" spans="1:14">
      <c r="A152" s="2" t="s">
        <v>59</v>
      </c>
      <c r="B152" s="3">
        <v>45717</v>
      </c>
      <c r="C152" s="2" t="s">
        <v>24</v>
      </c>
      <c r="D152" s="2" t="s">
        <v>28</v>
      </c>
      <c r="E152" s="2">
        <v>47093.55</v>
      </c>
      <c r="F152" s="2">
        <v>5550</v>
      </c>
      <c r="G152" s="2">
        <v>0.1</v>
      </c>
      <c r="H152" s="2">
        <v>12</v>
      </c>
      <c r="I152" s="2">
        <v>95</v>
      </c>
      <c r="J152" s="2">
        <v>2.33</v>
      </c>
      <c r="K152" s="2">
        <v>1</v>
      </c>
      <c r="L152" s="2">
        <v>3.7</v>
      </c>
      <c r="M152" s="2">
        <v>696744.15</v>
      </c>
      <c r="N152" s="2">
        <v>152230.09</v>
      </c>
    </row>
    <row r="153" spans="1:14">
      <c r="A153" s="2" t="s">
        <v>59</v>
      </c>
      <c r="B153" s="3">
        <v>45748</v>
      </c>
      <c r="C153" s="2" t="s">
        <v>24</v>
      </c>
      <c r="D153" s="2" t="s">
        <v>28</v>
      </c>
      <c r="E153" s="2">
        <v>71855.09</v>
      </c>
      <c r="F153" s="2">
        <v>5911</v>
      </c>
      <c r="G153" s="2">
        <v>0.19700000000000001</v>
      </c>
      <c r="H153" s="2">
        <v>15</v>
      </c>
      <c r="I153" s="2">
        <v>94.3</v>
      </c>
      <c r="J153" s="2">
        <v>3.55</v>
      </c>
      <c r="K153" s="2">
        <v>0</v>
      </c>
      <c r="L153" s="2">
        <v>4.0999999999999996</v>
      </c>
      <c r="M153" s="2">
        <v>725847.99</v>
      </c>
      <c r="N153" s="2">
        <v>122698.73</v>
      </c>
    </row>
    <row r="154" spans="1:14">
      <c r="A154" s="2" t="s">
        <v>60</v>
      </c>
      <c r="B154" s="3">
        <v>45658</v>
      </c>
      <c r="C154" s="2" t="s">
        <v>15</v>
      </c>
      <c r="D154" s="2" t="s">
        <v>18</v>
      </c>
      <c r="E154" s="2">
        <v>75645.23</v>
      </c>
      <c r="F154" s="2">
        <v>9674</v>
      </c>
      <c r="G154" s="2">
        <v>0.23400000000000001</v>
      </c>
      <c r="H154" s="2">
        <v>21</v>
      </c>
      <c r="I154" s="2">
        <v>87.4</v>
      </c>
      <c r="J154" s="2">
        <v>0.2</v>
      </c>
      <c r="K154" s="2">
        <v>0</v>
      </c>
      <c r="L154" s="2">
        <v>4.5</v>
      </c>
      <c r="M154" s="2">
        <v>785028.25</v>
      </c>
      <c r="N154" s="2">
        <v>110726.44</v>
      </c>
    </row>
    <row r="155" spans="1:14">
      <c r="A155" s="2" t="s">
        <v>60</v>
      </c>
      <c r="B155" s="3">
        <v>45689</v>
      </c>
      <c r="C155" s="2" t="s">
        <v>15</v>
      </c>
      <c r="D155" s="2" t="s">
        <v>18</v>
      </c>
      <c r="E155" s="2">
        <v>64374.75</v>
      </c>
      <c r="F155" s="2">
        <v>6740</v>
      </c>
      <c r="G155" s="2">
        <v>0.16900000000000001</v>
      </c>
      <c r="H155" s="2">
        <v>18</v>
      </c>
      <c r="I155" s="2">
        <v>87</v>
      </c>
      <c r="J155" s="2">
        <v>2.09</v>
      </c>
      <c r="K155" s="2">
        <v>0</v>
      </c>
      <c r="L155" s="2">
        <v>4.2</v>
      </c>
      <c r="M155" s="2">
        <v>698492.67</v>
      </c>
      <c r="N155" s="2">
        <v>117319.32</v>
      </c>
    </row>
    <row r="156" spans="1:14">
      <c r="A156" s="2" t="s">
        <v>60</v>
      </c>
      <c r="B156" s="3">
        <v>45717</v>
      </c>
      <c r="C156" s="2" t="s">
        <v>15</v>
      </c>
      <c r="D156" s="2" t="s">
        <v>18</v>
      </c>
      <c r="E156" s="2">
        <v>61433.84</v>
      </c>
      <c r="F156" s="2">
        <v>7745</v>
      </c>
      <c r="G156" s="2">
        <v>0.18</v>
      </c>
      <c r="H156" s="2">
        <v>16</v>
      </c>
      <c r="I156" s="2">
        <v>90.5</v>
      </c>
      <c r="J156" s="2">
        <v>2.2599999999999998</v>
      </c>
      <c r="K156" s="2">
        <v>0</v>
      </c>
      <c r="L156" s="2">
        <v>4.2</v>
      </c>
      <c r="M156" s="2">
        <v>685830.24</v>
      </c>
      <c r="N156" s="2">
        <v>128736.18</v>
      </c>
    </row>
    <row r="157" spans="1:14">
      <c r="A157" s="2" t="s">
        <v>60</v>
      </c>
      <c r="B157" s="3">
        <v>45748</v>
      </c>
      <c r="C157" s="2" t="s">
        <v>15</v>
      </c>
      <c r="D157" s="2" t="s">
        <v>18</v>
      </c>
      <c r="E157" s="2">
        <v>42698.14</v>
      </c>
      <c r="F157" s="2">
        <v>7693</v>
      </c>
      <c r="G157" s="2">
        <v>0.187</v>
      </c>
      <c r="H157" s="2">
        <v>19</v>
      </c>
      <c r="I157" s="2">
        <v>90.1</v>
      </c>
      <c r="J157" s="2">
        <v>0.44</v>
      </c>
      <c r="K157" s="2">
        <v>0</v>
      </c>
      <c r="L157" s="2">
        <v>4.4000000000000004</v>
      </c>
      <c r="M157" s="2">
        <v>702318.94</v>
      </c>
      <c r="N157" s="2">
        <v>112829.29</v>
      </c>
    </row>
    <row r="158" spans="1:14">
      <c r="A158" s="2" t="s">
        <v>61</v>
      </c>
      <c r="B158" s="3">
        <v>45658</v>
      </c>
      <c r="C158" s="2" t="s">
        <v>20</v>
      </c>
      <c r="D158" s="2" t="s">
        <v>28</v>
      </c>
      <c r="E158" s="2">
        <v>86883.31</v>
      </c>
      <c r="F158" s="2">
        <v>6424</v>
      </c>
      <c r="G158" s="2">
        <v>5.7000000000000002E-2</v>
      </c>
      <c r="H158" s="2">
        <v>19</v>
      </c>
      <c r="I158" s="2">
        <v>85.2</v>
      </c>
      <c r="J158" s="2">
        <v>3.08</v>
      </c>
      <c r="K158" s="2">
        <v>0</v>
      </c>
      <c r="L158" s="2">
        <v>3.9</v>
      </c>
      <c r="M158" s="2">
        <v>700078.32</v>
      </c>
      <c r="N158" s="2">
        <v>123707.58</v>
      </c>
    </row>
    <row r="159" spans="1:14">
      <c r="A159" s="2" t="s">
        <v>61</v>
      </c>
      <c r="B159" s="3">
        <v>45689</v>
      </c>
      <c r="C159" s="2" t="s">
        <v>20</v>
      </c>
      <c r="D159" s="2" t="s">
        <v>28</v>
      </c>
      <c r="E159" s="2">
        <v>41863.08</v>
      </c>
      <c r="F159" s="2">
        <v>5400</v>
      </c>
      <c r="G159" s="2">
        <v>0.114</v>
      </c>
      <c r="H159" s="2">
        <v>11</v>
      </c>
      <c r="I159" s="2">
        <v>91.6</v>
      </c>
      <c r="J159" s="2">
        <v>7.99</v>
      </c>
      <c r="K159" s="2">
        <v>0</v>
      </c>
      <c r="L159" s="2">
        <v>3</v>
      </c>
      <c r="M159" s="2">
        <v>602002.31999999995</v>
      </c>
      <c r="N159" s="2">
        <v>110453.28</v>
      </c>
    </row>
    <row r="160" spans="1:14">
      <c r="A160" s="2" t="s">
        <v>61</v>
      </c>
      <c r="B160" s="3">
        <v>45717</v>
      </c>
      <c r="C160" s="2" t="s">
        <v>20</v>
      </c>
      <c r="D160" s="2" t="s">
        <v>28</v>
      </c>
      <c r="E160" s="2">
        <v>56918.16</v>
      </c>
      <c r="F160" s="2">
        <v>7015</v>
      </c>
      <c r="G160" s="2">
        <v>0.158</v>
      </c>
      <c r="H160" s="2">
        <v>18</v>
      </c>
      <c r="I160" s="2">
        <v>74.2</v>
      </c>
      <c r="J160" s="2">
        <v>0.2</v>
      </c>
      <c r="K160" s="2">
        <v>0</v>
      </c>
      <c r="L160" s="2">
        <v>3.4</v>
      </c>
      <c r="M160" s="2">
        <v>724216.07</v>
      </c>
      <c r="N160" s="2">
        <v>100627.56</v>
      </c>
    </row>
    <row r="161" spans="1:14">
      <c r="A161" s="2" t="s">
        <v>61</v>
      </c>
      <c r="B161" s="3">
        <v>45748</v>
      </c>
      <c r="C161" s="2" t="s">
        <v>20</v>
      </c>
      <c r="D161" s="2" t="s">
        <v>28</v>
      </c>
      <c r="E161" s="2">
        <v>23254.57</v>
      </c>
      <c r="F161" s="2">
        <v>3847</v>
      </c>
      <c r="G161" s="2">
        <v>0.159</v>
      </c>
      <c r="H161" s="2">
        <v>12</v>
      </c>
      <c r="I161" s="2">
        <v>93</v>
      </c>
      <c r="J161" s="2">
        <v>5.46</v>
      </c>
      <c r="K161" s="2">
        <v>0</v>
      </c>
      <c r="L161" s="2">
        <v>3.3</v>
      </c>
      <c r="M161" s="2">
        <v>620973.03</v>
      </c>
      <c r="N161" s="2">
        <v>72303.850000000006</v>
      </c>
    </row>
    <row r="162" spans="1:14">
      <c r="A162" s="2" t="s">
        <v>62</v>
      </c>
      <c r="B162" s="3">
        <v>45658</v>
      </c>
      <c r="C162" s="2" t="s">
        <v>24</v>
      </c>
      <c r="D162" s="2" t="s">
        <v>18</v>
      </c>
      <c r="E162" s="2">
        <v>41443.410000000003</v>
      </c>
      <c r="F162" s="2">
        <v>7455</v>
      </c>
      <c r="G162" s="2">
        <v>0.17499999999999999</v>
      </c>
      <c r="H162" s="2">
        <v>16</v>
      </c>
      <c r="I162" s="2">
        <v>90.1</v>
      </c>
      <c r="J162" s="2">
        <v>4.05</v>
      </c>
      <c r="K162" s="2">
        <v>0</v>
      </c>
      <c r="L162" s="2">
        <v>4</v>
      </c>
      <c r="M162" s="2">
        <v>650480.06000000006</v>
      </c>
      <c r="N162" s="2">
        <v>109012.07</v>
      </c>
    </row>
    <row r="163" spans="1:14">
      <c r="A163" s="2" t="s">
        <v>62</v>
      </c>
      <c r="B163" s="3">
        <v>45689</v>
      </c>
      <c r="C163" s="2" t="s">
        <v>24</v>
      </c>
      <c r="D163" s="2" t="s">
        <v>18</v>
      </c>
      <c r="E163" s="2">
        <v>48438.85</v>
      </c>
      <c r="F163" s="2">
        <v>6992</v>
      </c>
      <c r="G163" s="2">
        <v>3.4000000000000002E-2</v>
      </c>
      <c r="H163" s="2">
        <v>20</v>
      </c>
      <c r="I163" s="2">
        <v>91</v>
      </c>
      <c r="J163" s="2">
        <v>4.3600000000000003</v>
      </c>
      <c r="K163" s="2">
        <v>0</v>
      </c>
      <c r="L163" s="2">
        <v>4.2</v>
      </c>
      <c r="M163" s="2">
        <v>778298.88</v>
      </c>
      <c r="N163" s="2">
        <v>130076.72</v>
      </c>
    </row>
    <row r="164" spans="1:14">
      <c r="A164" s="2" t="s">
        <v>62</v>
      </c>
      <c r="B164" s="3">
        <v>45717</v>
      </c>
      <c r="C164" s="2" t="s">
        <v>24</v>
      </c>
      <c r="D164" s="2" t="s">
        <v>18</v>
      </c>
      <c r="E164" s="2">
        <v>57143.3</v>
      </c>
      <c r="F164" s="2">
        <v>8038</v>
      </c>
      <c r="G164" s="2">
        <v>0.193</v>
      </c>
      <c r="H164" s="2">
        <v>17</v>
      </c>
      <c r="I164" s="2">
        <v>72.599999999999994</v>
      </c>
      <c r="J164" s="2"/>
      <c r="K164" s="2">
        <v>0</v>
      </c>
      <c r="L164" s="2">
        <v>4.2</v>
      </c>
      <c r="M164" s="2">
        <v>677096.71</v>
      </c>
      <c r="N164" s="2">
        <v>97174.11</v>
      </c>
    </row>
    <row r="165" spans="1:14">
      <c r="A165" s="2" t="s">
        <v>62</v>
      </c>
      <c r="B165" s="3">
        <v>45748</v>
      </c>
      <c r="C165" s="2" t="s">
        <v>24</v>
      </c>
      <c r="D165" s="2" t="s">
        <v>18</v>
      </c>
      <c r="E165" s="2">
        <v>66870.62</v>
      </c>
      <c r="F165" s="2">
        <v>6055</v>
      </c>
      <c r="G165" s="2">
        <v>7.4999999999999997E-2</v>
      </c>
      <c r="H165" s="2">
        <v>19</v>
      </c>
      <c r="I165" s="2">
        <v>93.8</v>
      </c>
      <c r="J165" s="2">
        <v>0.54</v>
      </c>
      <c r="K165" s="2">
        <v>0</v>
      </c>
      <c r="L165" s="2">
        <v>4.3</v>
      </c>
      <c r="M165" s="2">
        <v>692008.64</v>
      </c>
      <c r="N165" s="2">
        <v>116337.87</v>
      </c>
    </row>
    <row r="166" spans="1:14">
      <c r="A166" s="2" t="s">
        <v>63</v>
      </c>
      <c r="B166" s="3">
        <v>45658</v>
      </c>
      <c r="C166" s="2" t="s">
        <v>20</v>
      </c>
      <c r="D166" s="2" t="s">
        <v>28</v>
      </c>
      <c r="E166" s="2">
        <v>72150.53</v>
      </c>
      <c r="F166" s="2">
        <v>9323</v>
      </c>
      <c r="G166" s="2">
        <v>0.157</v>
      </c>
      <c r="H166" s="2">
        <v>22</v>
      </c>
      <c r="I166" s="2">
        <v>82.9</v>
      </c>
      <c r="J166" s="2">
        <v>11.37</v>
      </c>
      <c r="K166" s="2">
        <v>1</v>
      </c>
      <c r="L166" s="2">
        <v>4.3</v>
      </c>
      <c r="M166" s="2">
        <v>825797.91</v>
      </c>
      <c r="N166" s="2">
        <v>130945.24</v>
      </c>
    </row>
    <row r="167" spans="1:14">
      <c r="A167" s="2" t="s">
        <v>63</v>
      </c>
      <c r="B167" s="3">
        <v>45689</v>
      </c>
      <c r="C167" s="2" t="s">
        <v>20</v>
      </c>
      <c r="D167" s="2" t="s">
        <v>28</v>
      </c>
      <c r="E167" s="2">
        <v>35303.300000000003</v>
      </c>
      <c r="F167" s="2">
        <v>8789</v>
      </c>
      <c r="G167" s="2">
        <v>0.123</v>
      </c>
      <c r="H167" s="2">
        <v>22</v>
      </c>
      <c r="I167" s="2">
        <v>86.1</v>
      </c>
      <c r="J167" s="2">
        <v>9.43</v>
      </c>
      <c r="K167" s="2">
        <v>0</v>
      </c>
      <c r="L167" s="2">
        <v>4.2</v>
      </c>
      <c r="M167" s="2">
        <v>706285.52</v>
      </c>
      <c r="N167" s="2">
        <v>138014.72</v>
      </c>
    </row>
    <row r="168" spans="1:14">
      <c r="A168" s="2" t="s">
        <v>63</v>
      </c>
      <c r="B168" s="3">
        <v>45717</v>
      </c>
      <c r="C168" s="2" t="s">
        <v>20</v>
      </c>
      <c r="D168" s="2" t="s">
        <v>28</v>
      </c>
      <c r="E168" s="2">
        <v>30301.86</v>
      </c>
      <c r="F168" s="2">
        <v>6939</v>
      </c>
      <c r="G168" s="2">
        <v>0.09</v>
      </c>
      <c r="H168" s="2">
        <v>16</v>
      </c>
      <c r="I168" s="2">
        <v>90.3</v>
      </c>
      <c r="J168" s="2">
        <v>3.49</v>
      </c>
      <c r="K168" s="2">
        <v>0</v>
      </c>
      <c r="L168" s="2">
        <v>4</v>
      </c>
      <c r="M168" s="2">
        <v>665534.69999999995</v>
      </c>
      <c r="N168" s="2">
        <v>113167.73</v>
      </c>
    </row>
    <row r="169" spans="1:14">
      <c r="A169" s="2" t="s">
        <v>63</v>
      </c>
      <c r="B169" s="3">
        <v>45748</v>
      </c>
      <c r="C169" s="2" t="s">
        <v>20</v>
      </c>
      <c r="D169" s="2" t="s">
        <v>28</v>
      </c>
      <c r="E169" s="2">
        <v>78432.14</v>
      </c>
      <c r="F169" s="2">
        <v>9440</v>
      </c>
      <c r="G169" s="2">
        <v>0.126</v>
      </c>
      <c r="H169" s="2">
        <v>23</v>
      </c>
      <c r="I169" s="2">
        <v>89.2</v>
      </c>
      <c r="J169" s="2">
        <v>7.86</v>
      </c>
      <c r="K169" s="2">
        <v>0</v>
      </c>
      <c r="L169" s="2">
        <v>4.0999999999999996</v>
      </c>
      <c r="M169" s="2">
        <v>820729.29</v>
      </c>
      <c r="N169" s="2">
        <v>159325.47</v>
      </c>
    </row>
    <row r="170" spans="1:14">
      <c r="A170" s="2" t="s">
        <v>64</v>
      </c>
      <c r="B170" s="3">
        <v>45658</v>
      </c>
      <c r="C170" s="2" t="s">
        <v>15</v>
      </c>
      <c r="D170" s="2" t="s">
        <v>16</v>
      </c>
      <c r="E170" s="2">
        <v>62059.18</v>
      </c>
      <c r="F170" s="2">
        <v>9374</v>
      </c>
      <c r="G170" s="2">
        <v>0.13600000000000001</v>
      </c>
      <c r="H170" s="2">
        <v>25</v>
      </c>
      <c r="I170" s="2">
        <v>87.1</v>
      </c>
      <c r="J170" s="2">
        <v>12.55</v>
      </c>
      <c r="K170" s="2">
        <v>0</v>
      </c>
      <c r="L170" s="2">
        <v>4.9000000000000004</v>
      </c>
      <c r="M170" s="2">
        <v>739831.73</v>
      </c>
      <c r="N170" s="2">
        <v>119490.21</v>
      </c>
    </row>
    <row r="171" spans="1:14">
      <c r="A171" s="2" t="s">
        <v>64</v>
      </c>
      <c r="B171" s="3">
        <v>45689</v>
      </c>
      <c r="C171" s="2" t="s">
        <v>15</v>
      </c>
      <c r="D171" s="2" t="s">
        <v>16</v>
      </c>
      <c r="E171" s="2">
        <v>32834.480000000003</v>
      </c>
      <c r="F171" s="2">
        <v>7576</v>
      </c>
      <c r="G171" s="2">
        <v>9.9000000000000005E-2</v>
      </c>
      <c r="H171" s="2">
        <v>15</v>
      </c>
      <c r="I171" s="2">
        <v>84.1</v>
      </c>
      <c r="J171" s="2">
        <v>3.48</v>
      </c>
      <c r="K171" s="2">
        <v>0</v>
      </c>
      <c r="L171" s="2">
        <v>5</v>
      </c>
      <c r="M171" s="2">
        <v>593637.14</v>
      </c>
      <c r="N171" s="2">
        <v>106648.14</v>
      </c>
    </row>
    <row r="172" spans="1:14">
      <c r="A172" s="2" t="s">
        <v>64</v>
      </c>
      <c r="B172" s="3">
        <v>45717</v>
      </c>
      <c r="C172" s="2" t="s">
        <v>15</v>
      </c>
      <c r="D172" s="2" t="s">
        <v>16</v>
      </c>
      <c r="E172" s="2">
        <v>50825.08</v>
      </c>
      <c r="F172" s="2">
        <v>8949</v>
      </c>
      <c r="G172" s="2">
        <v>0.157</v>
      </c>
      <c r="H172" s="2">
        <v>21</v>
      </c>
      <c r="I172" s="2">
        <v>84.7</v>
      </c>
      <c r="J172" s="2">
        <v>7.73</v>
      </c>
      <c r="K172" s="2">
        <v>0</v>
      </c>
      <c r="L172" s="2">
        <v>4.9000000000000004</v>
      </c>
      <c r="M172" s="2">
        <v>769702.76</v>
      </c>
      <c r="N172" s="2">
        <v>158697</v>
      </c>
    </row>
    <row r="173" spans="1:14">
      <c r="A173" s="2" t="s">
        <v>64</v>
      </c>
      <c r="B173" s="3">
        <v>45748</v>
      </c>
      <c r="C173" s="2" t="s">
        <v>15</v>
      </c>
      <c r="D173" s="2" t="s">
        <v>16</v>
      </c>
      <c r="E173" s="2">
        <v>36606.51</v>
      </c>
      <c r="F173" s="2">
        <v>7671</v>
      </c>
      <c r="G173" s="2">
        <v>0.11799999999999999</v>
      </c>
      <c r="H173" s="2">
        <v>18</v>
      </c>
      <c r="I173" s="2">
        <v>89.8</v>
      </c>
      <c r="J173" s="2">
        <v>0.25</v>
      </c>
      <c r="K173" s="2">
        <v>0</v>
      </c>
      <c r="L173" s="2">
        <v>4.4000000000000004</v>
      </c>
      <c r="M173" s="2">
        <v>679731.57</v>
      </c>
      <c r="N173" s="2">
        <v>121546.42</v>
      </c>
    </row>
    <row r="174" spans="1:14">
      <c r="A174" s="2" t="s">
        <v>65</v>
      </c>
      <c r="B174" s="3">
        <v>45658</v>
      </c>
      <c r="C174" s="2" t="s">
        <v>15</v>
      </c>
      <c r="D174" s="2" t="s">
        <v>16</v>
      </c>
      <c r="E174" s="2">
        <v>65237.79</v>
      </c>
      <c r="F174" s="2">
        <v>8741</v>
      </c>
      <c r="G174" s="2">
        <v>0.157</v>
      </c>
      <c r="H174" s="2">
        <v>20</v>
      </c>
      <c r="I174" s="2">
        <v>94.4</v>
      </c>
      <c r="J174" s="2">
        <v>6.43</v>
      </c>
      <c r="K174" s="2">
        <v>0</v>
      </c>
      <c r="L174" s="2">
        <v>3.3</v>
      </c>
      <c r="M174" s="2">
        <v>780344.18</v>
      </c>
      <c r="N174" s="2">
        <v>118239.09</v>
      </c>
    </row>
    <row r="175" spans="1:14">
      <c r="A175" s="2" t="s">
        <v>65</v>
      </c>
      <c r="B175" s="3">
        <v>45689</v>
      </c>
      <c r="C175" s="2" t="s">
        <v>15</v>
      </c>
      <c r="D175" s="2" t="s">
        <v>16</v>
      </c>
      <c r="E175" s="2">
        <v>43645.98</v>
      </c>
      <c r="F175" s="2">
        <v>9480</v>
      </c>
      <c r="G175" s="2">
        <v>0.109</v>
      </c>
      <c r="H175" s="2">
        <v>22</v>
      </c>
      <c r="I175" s="2">
        <v>89</v>
      </c>
      <c r="J175" s="2">
        <v>2.11</v>
      </c>
      <c r="K175" s="2">
        <v>0</v>
      </c>
      <c r="L175" s="2">
        <v>3.1</v>
      </c>
      <c r="M175" s="2">
        <v>721364.11</v>
      </c>
      <c r="N175" s="2">
        <v>147272.81</v>
      </c>
    </row>
    <row r="176" spans="1:14">
      <c r="A176" s="2" t="s">
        <v>65</v>
      </c>
      <c r="B176" s="3">
        <v>45717</v>
      </c>
      <c r="C176" s="2" t="s">
        <v>15</v>
      </c>
      <c r="D176" s="2" t="s">
        <v>16</v>
      </c>
      <c r="E176" s="2">
        <v>68040.149999999994</v>
      </c>
      <c r="F176" s="2">
        <v>9826</v>
      </c>
      <c r="G176" s="2">
        <v>0.125</v>
      </c>
      <c r="H176" s="2">
        <v>20</v>
      </c>
      <c r="I176" s="2">
        <v>83.9</v>
      </c>
      <c r="J176" s="2">
        <v>9.1199999999999992</v>
      </c>
      <c r="K176" s="2">
        <v>0</v>
      </c>
      <c r="L176" s="2">
        <v>3.6</v>
      </c>
      <c r="M176" s="2">
        <v>758138.29</v>
      </c>
      <c r="N176" s="2">
        <v>132975.26</v>
      </c>
    </row>
    <row r="177" spans="1:14">
      <c r="A177" s="2" t="s">
        <v>65</v>
      </c>
      <c r="B177" s="3">
        <v>45748</v>
      </c>
      <c r="C177" s="2" t="s">
        <v>15</v>
      </c>
      <c r="D177" s="2" t="s">
        <v>16</v>
      </c>
      <c r="E177" s="2">
        <v>63043.94</v>
      </c>
      <c r="F177" s="2">
        <v>10402</v>
      </c>
      <c r="G177" s="2">
        <v>0.159</v>
      </c>
      <c r="H177" s="2">
        <v>23</v>
      </c>
      <c r="I177" s="2">
        <v>93.9</v>
      </c>
      <c r="J177" s="2">
        <v>2.71</v>
      </c>
      <c r="K177" s="2">
        <v>0</v>
      </c>
      <c r="L177" s="2">
        <v>3.1</v>
      </c>
      <c r="M177" s="2">
        <v>804264</v>
      </c>
      <c r="N177" s="2">
        <v>167117.91</v>
      </c>
    </row>
    <row r="178" spans="1:14">
      <c r="A178" s="2" t="s">
        <v>66</v>
      </c>
      <c r="B178" s="3">
        <v>45658</v>
      </c>
      <c r="C178" s="2" t="s">
        <v>27</v>
      </c>
      <c r="D178" s="2" t="s">
        <v>21</v>
      </c>
      <c r="E178" s="2">
        <v>67494.09</v>
      </c>
      <c r="F178" s="2">
        <v>12361</v>
      </c>
      <c r="G178" s="2">
        <v>4.5999999999999999E-2</v>
      </c>
      <c r="H178" s="2">
        <v>24</v>
      </c>
      <c r="I178" s="2">
        <v>76.599999999999994</v>
      </c>
      <c r="J178" s="2">
        <v>3.65</v>
      </c>
      <c r="K178" s="2">
        <v>1</v>
      </c>
      <c r="L178" s="2">
        <v>3.7</v>
      </c>
      <c r="M178" s="2">
        <v>887537.75</v>
      </c>
      <c r="N178" s="2">
        <v>160362.92000000001</v>
      </c>
    </row>
    <row r="179" spans="1:14">
      <c r="A179" s="2" t="s">
        <v>66</v>
      </c>
      <c r="B179" s="3">
        <v>45689</v>
      </c>
      <c r="C179" s="2" t="s">
        <v>27</v>
      </c>
      <c r="D179" s="2" t="s">
        <v>21</v>
      </c>
      <c r="E179" s="2">
        <v>29389.32</v>
      </c>
      <c r="F179" s="2">
        <v>7925</v>
      </c>
      <c r="G179" s="2">
        <v>0.17699999999999999</v>
      </c>
      <c r="H179" s="2">
        <v>21</v>
      </c>
      <c r="I179" s="2">
        <v>90.9</v>
      </c>
      <c r="J179" s="2">
        <v>7.86</v>
      </c>
      <c r="K179" s="2">
        <v>0</v>
      </c>
      <c r="L179" s="2">
        <v>4</v>
      </c>
      <c r="M179" s="2">
        <v>783582</v>
      </c>
      <c r="N179" s="2">
        <v>130670.93</v>
      </c>
    </row>
    <row r="180" spans="1:14">
      <c r="A180" s="2" t="s">
        <v>66</v>
      </c>
      <c r="B180" s="3">
        <v>45717</v>
      </c>
      <c r="C180" s="2" t="s">
        <v>27</v>
      </c>
      <c r="D180" s="2" t="s">
        <v>21</v>
      </c>
      <c r="E180" s="2">
        <v>40535.089999999997</v>
      </c>
      <c r="F180" s="2">
        <v>8870</v>
      </c>
      <c r="G180" s="2">
        <v>4.1000000000000002E-2</v>
      </c>
      <c r="H180" s="2">
        <v>21</v>
      </c>
      <c r="I180" s="2">
        <v>86.6</v>
      </c>
      <c r="J180" s="2">
        <v>0.3</v>
      </c>
      <c r="K180" s="2">
        <v>0</v>
      </c>
      <c r="L180" s="2">
        <v>4.0999999999999996</v>
      </c>
      <c r="M180" s="2">
        <v>781955.52</v>
      </c>
      <c r="N180" s="2">
        <v>152578.71</v>
      </c>
    </row>
    <row r="181" spans="1:14">
      <c r="A181" s="2" t="s">
        <v>66</v>
      </c>
      <c r="B181" s="3">
        <v>45748</v>
      </c>
      <c r="C181" s="2" t="s">
        <v>27</v>
      </c>
      <c r="D181" s="2" t="s">
        <v>21</v>
      </c>
      <c r="E181" s="2">
        <v>74881.56</v>
      </c>
      <c r="F181" s="2">
        <v>9999</v>
      </c>
      <c r="G181" s="2">
        <v>1.2999999999999999E-2</v>
      </c>
      <c r="H181" s="2">
        <v>20</v>
      </c>
      <c r="I181" s="2">
        <v>89.6</v>
      </c>
      <c r="J181" s="2">
        <v>8.44</v>
      </c>
      <c r="K181" s="2">
        <v>0</v>
      </c>
      <c r="L181" s="2">
        <v>4.0999999999999996</v>
      </c>
      <c r="M181" s="2">
        <v>898031.04</v>
      </c>
      <c r="N181" s="2">
        <v>138666.5</v>
      </c>
    </row>
    <row r="182" spans="1:14">
      <c r="A182" s="2" t="s">
        <v>67</v>
      </c>
      <c r="B182" s="3">
        <v>45658</v>
      </c>
      <c r="C182" s="2" t="s">
        <v>27</v>
      </c>
      <c r="D182" s="2" t="s">
        <v>16</v>
      </c>
      <c r="E182" s="2">
        <v>68491.11</v>
      </c>
      <c r="F182" s="2">
        <v>11154</v>
      </c>
      <c r="G182" s="2">
        <v>1E-3</v>
      </c>
      <c r="H182" s="2">
        <v>24</v>
      </c>
      <c r="I182" s="2">
        <v>89.4</v>
      </c>
      <c r="J182" s="2">
        <v>5.27</v>
      </c>
      <c r="K182" s="2">
        <v>1</v>
      </c>
      <c r="L182" s="2">
        <v>3.9</v>
      </c>
      <c r="M182" s="2">
        <v>855341.28</v>
      </c>
      <c r="N182" s="2">
        <v>175823.8</v>
      </c>
    </row>
    <row r="183" spans="1:14">
      <c r="A183" s="2" t="s">
        <v>67</v>
      </c>
      <c r="B183" s="3">
        <v>45689</v>
      </c>
      <c r="C183" s="2" t="s">
        <v>27</v>
      </c>
      <c r="D183" s="2" t="s">
        <v>16</v>
      </c>
      <c r="E183" s="2">
        <v>45209.25</v>
      </c>
      <c r="F183" s="2">
        <v>9287</v>
      </c>
      <c r="G183" s="2">
        <v>0.14099999999999999</v>
      </c>
      <c r="H183" s="2">
        <v>22</v>
      </c>
      <c r="I183" s="2">
        <v>86.4</v>
      </c>
      <c r="J183" s="2">
        <v>13.22</v>
      </c>
      <c r="K183" s="2">
        <v>0</v>
      </c>
      <c r="L183" s="2">
        <v>3.6</v>
      </c>
      <c r="M183" s="2">
        <v>751393.88</v>
      </c>
      <c r="N183" s="2">
        <v>91480.320000000007</v>
      </c>
    </row>
    <row r="184" spans="1:14">
      <c r="A184" s="2" t="s">
        <v>67</v>
      </c>
      <c r="B184" s="3">
        <v>45717</v>
      </c>
      <c r="C184" s="2" t="s">
        <v>27</v>
      </c>
      <c r="D184" s="2" t="s">
        <v>16</v>
      </c>
      <c r="E184" s="2">
        <v>63010.23</v>
      </c>
      <c r="F184" s="2">
        <v>9812</v>
      </c>
      <c r="G184" s="2">
        <v>0.113</v>
      </c>
      <c r="H184" s="2">
        <v>24</v>
      </c>
      <c r="I184" s="2">
        <v>76.8</v>
      </c>
      <c r="J184" s="2">
        <v>1.02</v>
      </c>
      <c r="K184" s="2">
        <v>1</v>
      </c>
      <c r="L184" s="2">
        <v>3.8</v>
      </c>
      <c r="M184" s="2">
        <v>761077.08</v>
      </c>
      <c r="N184" s="2">
        <v>113605.93</v>
      </c>
    </row>
    <row r="185" spans="1:14">
      <c r="A185" s="2" t="s">
        <v>67</v>
      </c>
      <c r="B185" s="3">
        <v>45748</v>
      </c>
      <c r="C185" s="2" t="s">
        <v>27</v>
      </c>
      <c r="D185" s="2" t="s">
        <v>16</v>
      </c>
      <c r="E185" s="2">
        <v>57948.88</v>
      </c>
      <c r="F185" s="2">
        <v>10741</v>
      </c>
      <c r="G185" s="2">
        <v>7.0000000000000007E-2</v>
      </c>
      <c r="H185" s="2">
        <v>25</v>
      </c>
      <c r="I185" s="2">
        <v>90.1</v>
      </c>
      <c r="J185" s="2">
        <v>4.03</v>
      </c>
      <c r="K185" s="2">
        <v>0</v>
      </c>
      <c r="L185" s="2">
        <v>3.1</v>
      </c>
      <c r="M185" s="2">
        <v>819660.59</v>
      </c>
      <c r="N185" s="2">
        <v>172699.95</v>
      </c>
    </row>
    <row r="186" spans="1:14">
      <c r="A186" s="2" t="s">
        <v>68</v>
      </c>
      <c r="B186" s="3">
        <v>45658</v>
      </c>
      <c r="C186" s="2" t="s">
        <v>20</v>
      </c>
      <c r="D186" s="2" t="s">
        <v>18</v>
      </c>
      <c r="E186" s="2">
        <v>71941.62</v>
      </c>
      <c r="F186" s="2">
        <v>6084</v>
      </c>
      <c r="G186" s="2">
        <v>7.1999999999999995E-2</v>
      </c>
      <c r="H186" s="2">
        <v>13</v>
      </c>
      <c r="I186" s="2">
        <v>93.7</v>
      </c>
      <c r="J186" s="2">
        <v>2.34</v>
      </c>
      <c r="K186" s="2">
        <v>0</v>
      </c>
      <c r="L186" s="2">
        <v>4.4000000000000004</v>
      </c>
      <c r="M186" s="2">
        <v>681855.56</v>
      </c>
      <c r="N186" s="2">
        <v>117645.61</v>
      </c>
    </row>
    <row r="187" spans="1:14">
      <c r="A187" s="2" t="s">
        <v>68</v>
      </c>
      <c r="B187" s="3">
        <v>45689</v>
      </c>
      <c r="C187" s="2" t="s">
        <v>20</v>
      </c>
      <c r="D187" s="2" t="s">
        <v>18</v>
      </c>
      <c r="E187" s="2">
        <v>57147.88</v>
      </c>
      <c r="F187" s="2">
        <v>5252</v>
      </c>
      <c r="G187" s="2">
        <v>0.161</v>
      </c>
      <c r="H187" s="2">
        <v>15</v>
      </c>
      <c r="I187" s="2">
        <v>95.5</v>
      </c>
      <c r="J187" s="2">
        <v>8.51</v>
      </c>
      <c r="K187" s="2">
        <v>0</v>
      </c>
      <c r="L187" s="2">
        <v>4.4000000000000004</v>
      </c>
      <c r="M187" s="2">
        <v>678311.17</v>
      </c>
      <c r="N187" s="2">
        <v>132029.76000000001</v>
      </c>
    </row>
    <row r="188" spans="1:14">
      <c r="A188" s="2" t="s">
        <v>68</v>
      </c>
      <c r="B188" s="3">
        <v>45717</v>
      </c>
      <c r="C188" s="2" t="s">
        <v>20</v>
      </c>
      <c r="D188" s="2" t="s">
        <v>18</v>
      </c>
      <c r="E188" s="2">
        <v>48031.74</v>
      </c>
      <c r="F188" s="2">
        <v>6516</v>
      </c>
      <c r="G188" s="2">
        <v>6.7000000000000004E-2</v>
      </c>
      <c r="H188" s="2">
        <v>14</v>
      </c>
      <c r="I188" s="2">
        <v>99</v>
      </c>
      <c r="J188" s="2">
        <v>0.48</v>
      </c>
      <c r="K188" s="2">
        <v>1</v>
      </c>
      <c r="L188" s="2">
        <v>4.3</v>
      </c>
      <c r="M188" s="2">
        <v>765906.95</v>
      </c>
      <c r="N188" s="2">
        <v>114005.9</v>
      </c>
    </row>
    <row r="189" spans="1:14">
      <c r="A189" s="2" t="s">
        <v>68</v>
      </c>
      <c r="B189" s="3">
        <v>45748</v>
      </c>
      <c r="C189" s="2" t="s">
        <v>20</v>
      </c>
      <c r="D189" s="2" t="s">
        <v>18</v>
      </c>
      <c r="E189" s="2">
        <v>72784.800000000003</v>
      </c>
      <c r="F189" s="2">
        <v>7932</v>
      </c>
      <c r="G189" s="2">
        <v>9.4E-2</v>
      </c>
      <c r="H189" s="2">
        <v>20</v>
      </c>
      <c r="I189" s="2">
        <v>74.900000000000006</v>
      </c>
      <c r="J189" s="2">
        <v>13.62</v>
      </c>
      <c r="K189" s="2">
        <v>0</v>
      </c>
      <c r="L189" s="2">
        <v>4.2</v>
      </c>
      <c r="M189" s="2">
        <v>712546.38</v>
      </c>
      <c r="N189" s="2">
        <v>101480.04</v>
      </c>
    </row>
    <row r="190" spans="1:14">
      <c r="A190" s="2" t="s">
        <v>69</v>
      </c>
      <c r="B190" s="3">
        <v>45658</v>
      </c>
      <c r="C190" s="2" t="s">
        <v>15</v>
      </c>
      <c r="D190" s="2" t="s">
        <v>18</v>
      </c>
      <c r="E190" s="2">
        <v>71641.899999999994</v>
      </c>
      <c r="F190" s="2">
        <v>3506</v>
      </c>
      <c r="G190" s="2">
        <v>0</v>
      </c>
      <c r="H190" s="2">
        <v>11</v>
      </c>
      <c r="I190" s="2">
        <v>86.4</v>
      </c>
      <c r="J190" s="2">
        <v>7.77</v>
      </c>
      <c r="K190" s="2">
        <v>0</v>
      </c>
      <c r="L190" s="2">
        <v>4.0999999999999996</v>
      </c>
      <c r="M190" s="2">
        <v>625993.82999999996</v>
      </c>
      <c r="N190" s="2">
        <v>98960.320000000007</v>
      </c>
    </row>
    <row r="191" spans="1:14">
      <c r="A191" s="2" t="s">
        <v>69</v>
      </c>
      <c r="B191" s="3">
        <v>45689</v>
      </c>
      <c r="C191" s="2" t="s">
        <v>15</v>
      </c>
      <c r="D191" s="2" t="s">
        <v>18</v>
      </c>
      <c r="E191" s="2">
        <v>55788.61</v>
      </c>
      <c r="F191" s="2">
        <v>2312</v>
      </c>
      <c r="G191" s="2">
        <v>5.8000000000000003E-2</v>
      </c>
      <c r="H191" s="2">
        <v>10</v>
      </c>
      <c r="I191" s="2">
        <v>91.3</v>
      </c>
      <c r="J191" s="2">
        <v>1.99</v>
      </c>
      <c r="K191" s="2">
        <v>0</v>
      </c>
      <c r="L191" s="2">
        <v>3.8</v>
      </c>
      <c r="M191" s="2">
        <v>550962.93000000005</v>
      </c>
      <c r="N191" s="2">
        <v>97144.58</v>
      </c>
    </row>
    <row r="192" spans="1:14">
      <c r="A192" s="2" t="s">
        <v>69</v>
      </c>
      <c r="B192" s="3">
        <v>45717</v>
      </c>
      <c r="C192" s="2" t="s">
        <v>15</v>
      </c>
      <c r="D192" s="2" t="s">
        <v>18</v>
      </c>
      <c r="E192" s="2">
        <v>37705.879999999997</v>
      </c>
      <c r="F192" s="2">
        <v>1268</v>
      </c>
      <c r="G192" s="2">
        <v>0.25900000000000001</v>
      </c>
      <c r="H192" s="2">
        <v>9</v>
      </c>
      <c r="I192" s="2">
        <v>84.1</v>
      </c>
      <c r="J192" s="2">
        <v>4.7699999999999996</v>
      </c>
      <c r="K192" s="2">
        <v>0</v>
      </c>
      <c r="L192" s="2">
        <v>3.8</v>
      </c>
      <c r="M192" s="2">
        <v>443275.59</v>
      </c>
      <c r="N192" s="2">
        <v>53544.36</v>
      </c>
    </row>
    <row r="193" spans="1:14">
      <c r="A193" s="2" t="s">
        <v>69</v>
      </c>
      <c r="B193" s="3">
        <v>45748</v>
      </c>
      <c r="C193" s="2" t="s">
        <v>15</v>
      </c>
      <c r="D193" s="2" t="s">
        <v>18</v>
      </c>
      <c r="E193" s="2">
        <v>54966.18</v>
      </c>
      <c r="F193" s="2">
        <v>4423</v>
      </c>
      <c r="G193" s="2">
        <v>0.186</v>
      </c>
      <c r="H193" s="2">
        <v>13</v>
      </c>
      <c r="I193" s="2">
        <v>88.7</v>
      </c>
      <c r="J193" s="2">
        <v>0.2</v>
      </c>
      <c r="K193" s="2">
        <v>0</v>
      </c>
      <c r="L193" s="2">
        <v>4.4000000000000004</v>
      </c>
      <c r="M193" s="2">
        <v>554012.06999999995</v>
      </c>
      <c r="N193" s="2">
        <v>81101.62</v>
      </c>
    </row>
    <row r="194" spans="1:14">
      <c r="A194" s="2" t="s">
        <v>70</v>
      </c>
      <c r="B194" s="3">
        <v>45658</v>
      </c>
      <c r="C194" s="2" t="s">
        <v>27</v>
      </c>
      <c r="D194" s="2" t="s">
        <v>16</v>
      </c>
      <c r="E194" s="2">
        <v>81796.740000000005</v>
      </c>
      <c r="F194" s="2">
        <v>6177</v>
      </c>
      <c r="G194" s="2">
        <v>0.16400000000000001</v>
      </c>
      <c r="H194" s="2">
        <v>14</v>
      </c>
      <c r="I194" s="2">
        <v>87.9</v>
      </c>
      <c r="J194" s="2">
        <v>0.53</v>
      </c>
      <c r="K194" s="2">
        <v>0</v>
      </c>
      <c r="L194" s="2">
        <v>3.2</v>
      </c>
      <c r="M194" s="2">
        <v>643428.85</v>
      </c>
      <c r="N194" s="2">
        <v>94477.63</v>
      </c>
    </row>
    <row r="195" spans="1:14">
      <c r="A195" s="2" t="s">
        <v>70</v>
      </c>
      <c r="B195" s="3">
        <v>45689</v>
      </c>
      <c r="C195" s="2" t="s">
        <v>27</v>
      </c>
      <c r="D195" s="2" t="s">
        <v>16</v>
      </c>
      <c r="E195" s="2">
        <v>51133.43</v>
      </c>
      <c r="F195" s="2">
        <v>5150</v>
      </c>
      <c r="G195" s="2">
        <v>0.15</v>
      </c>
      <c r="H195" s="2">
        <v>12</v>
      </c>
      <c r="I195" s="2">
        <v>88.5</v>
      </c>
      <c r="J195" s="2">
        <v>1.54</v>
      </c>
      <c r="K195" s="2">
        <v>0</v>
      </c>
      <c r="L195" s="2">
        <v>3.2</v>
      </c>
      <c r="M195" s="2">
        <v>611924.27</v>
      </c>
      <c r="N195" s="2">
        <v>115488.75</v>
      </c>
    </row>
    <row r="196" spans="1:14">
      <c r="A196" s="2" t="s">
        <v>70</v>
      </c>
      <c r="B196" s="3">
        <v>45717</v>
      </c>
      <c r="C196" s="2" t="s">
        <v>27</v>
      </c>
      <c r="D196" s="2" t="s">
        <v>16</v>
      </c>
      <c r="E196" s="2">
        <v>40220.18</v>
      </c>
      <c r="F196" s="2">
        <v>3783</v>
      </c>
      <c r="G196" s="2">
        <v>8.8999999999999996E-2</v>
      </c>
      <c r="H196" s="2">
        <v>14</v>
      </c>
      <c r="I196" s="2">
        <v>86.6</v>
      </c>
      <c r="J196" s="2">
        <v>3.63</v>
      </c>
      <c r="K196" s="2">
        <v>0</v>
      </c>
      <c r="L196" s="2">
        <v>3.7</v>
      </c>
      <c r="M196" s="2">
        <v>559422.02</v>
      </c>
      <c r="N196" s="2">
        <v>73528.740000000005</v>
      </c>
    </row>
    <row r="197" spans="1:14">
      <c r="A197" s="2" t="s">
        <v>70</v>
      </c>
      <c r="B197" s="3">
        <v>45748</v>
      </c>
      <c r="C197" s="2" t="s">
        <v>27</v>
      </c>
      <c r="D197" s="2" t="s">
        <v>16</v>
      </c>
      <c r="E197" s="2">
        <v>41657.64</v>
      </c>
      <c r="F197" s="2">
        <v>3135</v>
      </c>
      <c r="G197" s="2">
        <v>0.22900000000000001</v>
      </c>
      <c r="H197" s="2">
        <v>7</v>
      </c>
      <c r="I197" s="2">
        <v>85.4</v>
      </c>
      <c r="J197" s="2">
        <v>13.48</v>
      </c>
      <c r="K197" s="2">
        <v>0</v>
      </c>
      <c r="L197" s="2"/>
      <c r="M197" s="2">
        <v>449465.06</v>
      </c>
      <c r="N197" s="2">
        <v>65694.78</v>
      </c>
    </row>
    <row r="198" spans="1:14">
      <c r="A198" s="2" t="s">
        <v>71</v>
      </c>
      <c r="B198" s="3">
        <v>45658</v>
      </c>
      <c r="C198" s="2" t="s">
        <v>20</v>
      </c>
      <c r="D198" s="2" t="s">
        <v>16</v>
      </c>
      <c r="E198" s="2">
        <v>71851.45</v>
      </c>
      <c r="F198" s="2">
        <v>4970</v>
      </c>
      <c r="G198" s="2">
        <v>9.8000000000000004E-2</v>
      </c>
      <c r="H198" s="2">
        <v>11</v>
      </c>
      <c r="I198" s="2">
        <v>89.6</v>
      </c>
      <c r="J198" s="2">
        <v>0.2</v>
      </c>
      <c r="K198" s="2">
        <v>0</v>
      </c>
      <c r="L198" s="2">
        <v>4.2</v>
      </c>
      <c r="M198" s="2">
        <v>691447.43</v>
      </c>
      <c r="N198" s="2">
        <v>114077.69</v>
      </c>
    </row>
    <row r="199" spans="1:14">
      <c r="A199" s="2" t="s">
        <v>71</v>
      </c>
      <c r="B199" s="3">
        <v>45689</v>
      </c>
      <c r="C199" s="2" t="s">
        <v>20</v>
      </c>
      <c r="D199" s="2" t="s">
        <v>16</v>
      </c>
      <c r="E199" s="2">
        <v>54002.83</v>
      </c>
      <c r="F199" s="2">
        <v>4366</v>
      </c>
      <c r="G199" s="2">
        <v>2.7E-2</v>
      </c>
      <c r="H199" s="2">
        <v>15</v>
      </c>
      <c r="I199" s="2">
        <v>90.6</v>
      </c>
      <c r="J199" s="2">
        <v>12.82</v>
      </c>
      <c r="K199" s="2">
        <v>0</v>
      </c>
      <c r="L199" s="2">
        <v>4.5999999999999996</v>
      </c>
      <c r="M199" s="2">
        <v>574066.61</v>
      </c>
      <c r="N199" s="2">
        <v>124674.67</v>
      </c>
    </row>
    <row r="200" spans="1:14">
      <c r="A200" s="2" t="s">
        <v>71</v>
      </c>
      <c r="B200" s="3">
        <v>45717</v>
      </c>
      <c r="C200" s="2" t="s">
        <v>20</v>
      </c>
      <c r="D200" s="2" t="s">
        <v>16</v>
      </c>
      <c r="E200" s="2">
        <v>54479.33</v>
      </c>
      <c r="F200" s="2">
        <v>5012</v>
      </c>
      <c r="G200" s="2">
        <v>0.28399999999999997</v>
      </c>
      <c r="H200" s="2">
        <v>13</v>
      </c>
      <c r="I200" s="2">
        <v>86</v>
      </c>
      <c r="J200" s="2">
        <v>2.2400000000000002</v>
      </c>
      <c r="K200" s="2">
        <v>1</v>
      </c>
      <c r="L200" s="2">
        <v>4.3</v>
      </c>
      <c r="M200" s="2">
        <v>578949.84</v>
      </c>
      <c r="N200" s="2">
        <v>80253.649999999994</v>
      </c>
    </row>
    <row r="201" spans="1:14">
      <c r="A201" s="2" t="s">
        <v>71</v>
      </c>
      <c r="B201" s="3">
        <v>45748</v>
      </c>
      <c r="C201" s="2" t="s">
        <v>20</v>
      </c>
      <c r="D201" s="2" t="s">
        <v>16</v>
      </c>
      <c r="E201" s="2">
        <v>61391.8</v>
      </c>
      <c r="F201" s="2">
        <v>5575</v>
      </c>
      <c r="G201" s="2">
        <v>0.189</v>
      </c>
      <c r="H201" s="2">
        <v>18</v>
      </c>
      <c r="I201" s="2">
        <v>90</v>
      </c>
      <c r="J201" s="2">
        <v>1.8</v>
      </c>
      <c r="K201" s="2">
        <v>0</v>
      </c>
      <c r="L201" s="2">
        <v>4.8</v>
      </c>
      <c r="M201" s="2">
        <v>735786.64</v>
      </c>
      <c r="N201" s="2">
        <v>126540.66</v>
      </c>
    </row>
    <row r="202" spans="1:14">
      <c r="A202" s="2" t="s">
        <v>72</v>
      </c>
      <c r="B202" s="3">
        <v>45658</v>
      </c>
      <c r="C202" s="2" t="s">
        <v>15</v>
      </c>
      <c r="D202" s="2" t="s">
        <v>21</v>
      </c>
      <c r="E202" s="2">
        <v>22312.93</v>
      </c>
      <c r="F202" s="2">
        <v>5955</v>
      </c>
      <c r="G202" s="2">
        <v>0.123</v>
      </c>
      <c r="H202" s="2">
        <v>13</v>
      </c>
      <c r="I202" s="2">
        <v>84.2</v>
      </c>
      <c r="J202" s="2">
        <v>0.41</v>
      </c>
      <c r="K202" s="2">
        <v>1</v>
      </c>
      <c r="L202" s="2">
        <v>4.5999999999999996</v>
      </c>
      <c r="M202" s="2">
        <v>598904.9</v>
      </c>
      <c r="N202" s="2">
        <v>72861</v>
      </c>
    </row>
    <row r="203" spans="1:14">
      <c r="A203" s="2" t="s">
        <v>72</v>
      </c>
      <c r="B203" s="3">
        <v>45689</v>
      </c>
      <c r="C203" s="2" t="s">
        <v>15</v>
      </c>
      <c r="D203" s="2" t="s">
        <v>21</v>
      </c>
      <c r="E203" s="2">
        <v>78111.97</v>
      </c>
      <c r="F203" s="2">
        <v>6389</v>
      </c>
      <c r="G203" s="2">
        <v>0.15</v>
      </c>
      <c r="H203" s="2">
        <v>13</v>
      </c>
      <c r="I203" s="2">
        <v>83.9</v>
      </c>
      <c r="J203" s="2">
        <v>3.05</v>
      </c>
      <c r="K203" s="2">
        <v>0</v>
      </c>
      <c r="L203" s="2">
        <v>4.8</v>
      </c>
      <c r="M203" s="2">
        <v>787715.51</v>
      </c>
      <c r="N203" s="2">
        <v>128969.62</v>
      </c>
    </row>
    <row r="204" spans="1:14">
      <c r="A204" s="2" t="s">
        <v>72</v>
      </c>
      <c r="B204" s="3">
        <v>45717</v>
      </c>
      <c r="C204" s="2" t="s">
        <v>15</v>
      </c>
      <c r="D204" s="2" t="s">
        <v>21</v>
      </c>
      <c r="E204" s="2">
        <v>35203.230000000003</v>
      </c>
      <c r="F204" s="2">
        <v>6896</v>
      </c>
      <c r="G204" s="2">
        <v>3.2000000000000001E-2</v>
      </c>
      <c r="H204" s="2">
        <v>14</v>
      </c>
      <c r="I204" s="2">
        <v>80.8</v>
      </c>
      <c r="J204" s="2">
        <v>8.44</v>
      </c>
      <c r="K204" s="2">
        <v>1</v>
      </c>
      <c r="L204" s="2">
        <v>5</v>
      </c>
      <c r="M204" s="2">
        <v>607084.92000000004</v>
      </c>
      <c r="N204" s="2">
        <v>98558.49</v>
      </c>
    </row>
    <row r="205" spans="1:14">
      <c r="A205" s="2" t="s">
        <v>72</v>
      </c>
      <c r="B205" s="3">
        <v>45748</v>
      </c>
      <c r="C205" s="2" t="s">
        <v>15</v>
      </c>
      <c r="D205" s="2" t="s">
        <v>21</v>
      </c>
      <c r="E205" s="2">
        <v>64104.28</v>
      </c>
      <c r="F205" s="2">
        <v>6015</v>
      </c>
      <c r="G205" s="2">
        <v>0.127</v>
      </c>
      <c r="H205" s="2">
        <v>15</v>
      </c>
      <c r="I205" s="2">
        <v>88.7</v>
      </c>
      <c r="J205" s="2">
        <v>0.78</v>
      </c>
      <c r="K205" s="2">
        <v>0</v>
      </c>
      <c r="L205" s="2">
        <v>4</v>
      </c>
      <c r="M205" s="2">
        <v>650795.49</v>
      </c>
      <c r="N205" s="2">
        <v>103035.89</v>
      </c>
    </row>
    <row r="206" spans="1:14">
      <c r="A206" s="2" t="s">
        <v>73</v>
      </c>
      <c r="B206" s="3">
        <v>45658</v>
      </c>
      <c r="C206" s="2" t="s">
        <v>15</v>
      </c>
      <c r="D206" s="2" t="s">
        <v>28</v>
      </c>
      <c r="E206" s="2">
        <v>92090.14</v>
      </c>
      <c r="F206" s="2">
        <v>9476</v>
      </c>
      <c r="G206" s="2">
        <v>7.0000000000000007E-2</v>
      </c>
      <c r="H206" s="2">
        <v>24</v>
      </c>
      <c r="I206" s="2">
        <v>94.3</v>
      </c>
      <c r="J206" s="2">
        <v>0.87</v>
      </c>
      <c r="K206" s="2">
        <v>0</v>
      </c>
      <c r="L206" s="2">
        <v>3.7</v>
      </c>
      <c r="M206" s="2">
        <v>825060.52</v>
      </c>
      <c r="N206" s="2">
        <v>143613.15</v>
      </c>
    </row>
    <row r="207" spans="1:14">
      <c r="A207" s="2" t="s">
        <v>73</v>
      </c>
      <c r="B207" s="3">
        <v>45689</v>
      </c>
      <c r="C207" s="2" t="s">
        <v>15</v>
      </c>
      <c r="D207" s="2" t="s">
        <v>28</v>
      </c>
      <c r="E207" s="2">
        <v>54300.87</v>
      </c>
      <c r="F207" s="2">
        <v>7875</v>
      </c>
      <c r="G207" s="2">
        <v>0.107</v>
      </c>
      <c r="H207" s="2">
        <v>19</v>
      </c>
      <c r="I207" s="2">
        <v>94.1</v>
      </c>
      <c r="J207" s="2">
        <v>0.95</v>
      </c>
      <c r="K207" s="2">
        <v>0</v>
      </c>
      <c r="L207" s="2">
        <v>3.7</v>
      </c>
      <c r="M207" s="2">
        <v>795464.47</v>
      </c>
      <c r="N207" s="2">
        <v>161150.51999999999</v>
      </c>
    </row>
    <row r="208" spans="1:14">
      <c r="A208" s="2" t="s">
        <v>73</v>
      </c>
      <c r="B208" s="3">
        <v>45717</v>
      </c>
      <c r="C208" s="2" t="s">
        <v>15</v>
      </c>
      <c r="D208" s="2" t="s">
        <v>28</v>
      </c>
      <c r="E208" s="2">
        <v>37983.35</v>
      </c>
      <c r="F208" s="2">
        <v>9283</v>
      </c>
      <c r="G208" s="2">
        <v>0.14899999999999999</v>
      </c>
      <c r="H208" s="2">
        <v>19</v>
      </c>
      <c r="I208" s="2">
        <v>83.2</v>
      </c>
      <c r="J208" s="2">
        <v>3.82</v>
      </c>
      <c r="K208" s="2">
        <v>0</v>
      </c>
      <c r="L208" s="2">
        <v>3.7</v>
      </c>
      <c r="M208" s="2">
        <v>671868.59</v>
      </c>
      <c r="N208" s="2">
        <v>71003.28</v>
      </c>
    </row>
    <row r="209" spans="1:14">
      <c r="A209" s="2" t="s">
        <v>73</v>
      </c>
      <c r="B209" s="3">
        <v>45748</v>
      </c>
      <c r="C209" s="2" t="s">
        <v>15</v>
      </c>
      <c r="D209" s="2" t="s">
        <v>28</v>
      </c>
      <c r="E209" s="2">
        <v>56413.83</v>
      </c>
      <c r="F209" s="2">
        <v>8303</v>
      </c>
      <c r="G209" s="2">
        <v>0.11600000000000001</v>
      </c>
      <c r="H209" s="2">
        <v>18</v>
      </c>
      <c r="I209" s="2">
        <v>93.6</v>
      </c>
      <c r="J209" s="2">
        <v>2.7</v>
      </c>
      <c r="K209" s="2">
        <v>0</v>
      </c>
      <c r="L209" s="2">
        <v>3.7</v>
      </c>
      <c r="M209" s="2">
        <v>675917.63</v>
      </c>
      <c r="N209" s="2">
        <v>112564.75</v>
      </c>
    </row>
    <row r="210" spans="1:14">
      <c r="A210" s="2" t="s">
        <v>74</v>
      </c>
      <c r="B210" s="3">
        <v>45658</v>
      </c>
      <c r="C210" s="2" t="s">
        <v>15</v>
      </c>
      <c r="D210" s="2" t="s">
        <v>18</v>
      </c>
      <c r="E210" s="2">
        <v>63457.19</v>
      </c>
      <c r="F210" s="2">
        <v>10125</v>
      </c>
      <c r="G210" s="2">
        <v>9.7000000000000003E-2</v>
      </c>
      <c r="H210" s="2">
        <v>24</v>
      </c>
      <c r="I210" s="2">
        <v>87</v>
      </c>
      <c r="J210" s="2">
        <v>3.84</v>
      </c>
      <c r="K210" s="2">
        <v>1</v>
      </c>
      <c r="L210" s="2">
        <v>3.7</v>
      </c>
      <c r="M210" s="2">
        <v>810446.53</v>
      </c>
      <c r="N210" s="2">
        <v>200575.34</v>
      </c>
    </row>
    <row r="211" spans="1:14">
      <c r="A211" s="2" t="s">
        <v>74</v>
      </c>
      <c r="B211" s="3">
        <v>45689</v>
      </c>
      <c r="C211" s="2" t="s">
        <v>15</v>
      </c>
      <c r="D211" s="2" t="s">
        <v>18</v>
      </c>
      <c r="E211" s="2">
        <v>62949.7</v>
      </c>
      <c r="F211" s="2">
        <v>9458</v>
      </c>
      <c r="G211" s="2">
        <v>0.17100000000000001</v>
      </c>
      <c r="H211" s="2">
        <v>19</v>
      </c>
      <c r="I211" s="2">
        <v>84.9</v>
      </c>
      <c r="J211" s="2">
        <v>5.09</v>
      </c>
      <c r="K211" s="2">
        <v>0</v>
      </c>
      <c r="L211" s="2">
        <v>3.3</v>
      </c>
      <c r="M211" s="2">
        <v>691288.19</v>
      </c>
      <c r="N211" s="2">
        <v>159074.14000000001</v>
      </c>
    </row>
    <row r="212" spans="1:14">
      <c r="A212" s="2" t="s">
        <v>74</v>
      </c>
      <c r="B212" s="3">
        <v>45717</v>
      </c>
      <c r="C212" s="2" t="s">
        <v>15</v>
      </c>
      <c r="D212" s="2" t="s">
        <v>18</v>
      </c>
      <c r="E212" s="2">
        <v>107970.19</v>
      </c>
      <c r="F212" s="2">
        <v>12870</v>
      </c>
      <c r="G212" s="2">
        <v>2.9000000000000001E-2</v>
      </c>
      <c r="H212" s="2">
        <v>31</v>
      </c>
      <c r="I212" s="2">
        <v>91.7</v>
      </c>
      <c r="J212" s="2">
        <v>3.82</v>
      </c>
      <c r="K212" s="2">
        <v>1</v>
      </c>
      <c r="L212" s="2">
        <v>3.7</v>
      </c>
      <c r="M212" s="2">
        <v>946833.54</v>
      </c>
      <c r="N212" s="2">
        <v>184540.31</v>
      </c>
    </row>
    <row r="213" spans="1:14">
      <c r="A213" s="2" t="s">
        <v>74</v>
      </c>
      <c r="B213" s="3">
        <v>45748</v>
      </c>
      <c r="C213" s="2" t="s">
        <v>15</v>
      </c>
      <c r="D213" s="2" t="s">
        <v>18</v>
      </c>
      <c r="E213" s="2">
        <v>49405.75</v>
      </c>
      <c r="F213" s="2">
        <v>9752</v>
      </c>
      <c r="G213" s="2">
        <v>9.2999999999999999E-2</v>
      </c>
      <c r="H213" s="2">
        <v>21</v>
      </c>
      <c r="I213" s="2">
        <v>87</v>
      </c>
      <c r="J213" s="2">
        <v>12.28</v>
      </c>
      <c r="K213" s="2">
        <v>0</v>
      </c>
      <c r="L213" s="2">
        <v>4.0999999999999996</v>
      </c>
      <c r="M213" s="2">
        <v>761963.23</v>
      </c>
      <c r="N213" s="2">
        <v>150113.60999999999</v>
      </c>
    </row>
    <row r="214" spans="1:14">
      <c r="A214" s="2" t="s">
        <v>75</v>
      </c>
      <c r="B214" s="3">
        <v>45658</v>
      </c>
      <c r="C214" s="2" t="s">
        <v>27</v>
      </c>
      <c r="D214" s="2" t="s">
        <v>16</v>
      </c>
      <c r="E214" s="2">
        <v>50887.46</v>
      </c>
      <c r="F214" s="2">
        <v>9505</v>
      </c>
      <c r="G214" s="2">
        <v>9.0999999999999998E-2</v>
      </c>
      <c r="H214" s="2">
        <v>25</v>
      </c>
      <c r="I214" s="2">
        <v>89.7</v>
      </c>
      <c r="J214" s="2">
        <v>2.8</v>
      </c>
      <c r="K214" s="2">
        <v>0</v>
      </c>
      <c r="L214" s="2">
        <v>4.3</v>
      </c>
      <c r="M214" s="2">
        <v>812152.6</v>
      </c>
      <c r="N214" s="2">
        <v>138419.43</v>
      </c>
    </row>
    <row r="215" spans="1:14">
      <c r="A215" s="2" t="s">
        <v>75</v>
      </c>
      <c r="B215" s="3">
        <v>45689</v>
      </c>
      <c r="C215" s="2" t="s">
        <v>27</v>
      </c>
      <c r="D215" s="2" t="s">
        <v>16</v>
      </c>
      <c r="E215" s="2">
        <v>41819.449999999997</v>
      </c>
      <c r="F215" s="2">
        <v>9412</v>
      </c>
      <c r="G215" s="2">
        <v>0.15</v>
      </c>
      <c r="H215" s="2">
        <v>22</v>
      </c>
      <c r="I215" s="2">
        <v>91</v>
      </c>
      <c r="J215" s="2">
        <v>3.67</v>
      </c>
      <c r="K215" s="2">
        <v>0</v>
      </c>
      <c r="L215" s="2">
        <v>4.2</v>
      </c>
      <c r="M215" s="2">
        <v>804975.5</v>
      </c>
      <c r="N215" s="2">
        <v>140054.5</v>
      </c>
    </row>
    <row r="216" spans="1:14">
      <c r="A216" s="2" t="s">
        <v>75</v>
      </c>
      <c r="B216" s="3">
        <v>45717</v>
      </c>
      <c r="C216" s="2" t="s">
        <v>27</v>
      </c>
      <c r="D216" s="2" t="s">
        <v>16</v>
      </c>
      <c r="E216" s="2">
        <v>35296.54</v>
      </c>
      <c r="F216" s="2">
        <v>9644</v>
      </c>
      <c r="G216" s="2">
        <v>0</v>
      </c>
      <c r="H216" s="2">
        <v>22</v>
      </c>
      <c r="I216" s="2">
        <v>88</v>
      </c>
      <c r="J216" s="2">
        <v>2.81</v>
      </c>
      <c r="K216" s="2">
        <v>0</v>
      </c>
      <c r="L216" s="2">
        <v>4.7</v>
      </c>
      <c r="M216" s="2">
        <v>752321.72</v>
      </c>
      <c r="N216" s="2">
        <v>137788.51</v>
      </c>
    </row>
    <row r="217" spans="1:14">
      <c r="A217" s="2" t="s">
        <v>75</v>
      </c>
      <c r="B217" s="3">
        <v>45748</v>
      </c>
      <c r="C217" s="2" t="s">
        <v>27</v>
      </c>
      <c r="D217" s="2" t="s">
        <v>16</v>
      </c>
      <c r="E217" s="2">
        <v>47391.09</v>
      </c>
      <c r="F217" s="2">
        <v>11224</v>
      </c>
      <c r="G217" s="2">
        <v>0.14699999999999999</v>
      </c>
      <c r="H217" s="2">
        <v>25</v>
      </c>
      <c r="I217" s="2">
        <v>88.4</v>
      </c>
      <c r="J217" s="2">
        <v>2.44</v>
      </c>
      <c r="K217" s="2">
        <v>0</v>
      </c>
      <c r="L217" s="2">
        <v>4.9000000000000004</v>
      </c>
      <c r="M217" s="2">
        <v>836908.24</v>
      </c>
      <c r="N217" s="2">
        <v>141090.26</v>
      </c>
    </row>
    <row r="218" spans="1:14">
      <c r="A218" s="2" t="s">
        <v>76</v>
      </c>
      <c r="B218" s="3">
        <v>45658</v>
      </c>
      <c r="C218" s="2" t="s">
        <v>20</v>
      </c>
      <c r="D218" s="2" t="s">
        <v>21</v>
      </c>
      <c r="E218" s="2">
        <v>69180.539999999994</v>
      </c>
      <c r="F218" s="2">
        <v>5394</v>
      </c>
      <c r="G218" s="2">
        <v>0.126</v>
      </c>
      <c r="H218" s="2">
        <v>12</v>
      </c>
      <c r="I218" s="2">
        <v>82.9</v>
      </c>
      <c r="J218" s="2">
        <v>3.27</v>
      </c>
      <c r="K218" s="2">
        <v>0</v>
      </c>
      <c r="L218" s="2">
        <v>3.3</v>
      </c>
      <c r="M218" s="2">
        <v>674289.1</v>
      </c>
      <c r="N218" s="2">
        <v>117773.79</v>
      </c>
    </row>
    <row r="219" spans="1:14">
      <c r="A219" s="2" t="s">
        <v>76</v>
      </c>
      <c r="B219" s="3">
        <v>45689</v>
      </c>
      <c r="C219" s="2" t="s">
        <v>20</v>
      </c>
      <c r="D219" s="2" t="s">
        <v>21</v>
      </c>
      <c r="E219" s="2">
        <v>33987.33</v>
      </c>
      <c r="F219" s="2">
        <v>5014</v>
      </c>
      <c r="G219" s="2">
        <v>0.246</v>
      </c>
      <c r="H219" s="2">
        <v>17</v>
      </c>
      <c r="I219" s="2">
        <v>94.3</v>
      </c>
      <c r="J219" s="2">
        <v>10.34</v>
      </c>
      <c r="K219" s="2">
        <v>0</v>
      </c>
      <c r="L219" s="2">
        <v>3.9</v>
      </c>
      <c r="M219" s="2">
        <v>622892.42000000004</v>
      </c>
      <c r="N219" s="2">
        <v>101032.52</v>
      </c>
    </row>
    <row r="220" spans="1:14">
      <c r="A220" s="2" t="s">
        <v>76</v>
      </c>
      <c r="B220" s="3">
        <v>45717</v>
      </c>
      <c r="C220" s="2" t="s">
        <v>20</v>
      </c>
      <c r="D220" s="2" t="s">
        <v>21</v>
      </c>
      <c r="E220" s="2">
        <v>58785.33</v>
      </c>
      <c r="F220" s="2">
        <v>4467</v>
      </c>
      <c r="G220" s="2">
        <v>0.22900000000000001</v>
      </c>
      <c r="H220" s="2">
        <v>14</v>
      </c>
      <c r="I220" s="2">
        <v>90.7</v>
      </c>
      <c r="J220" s="2">
        <v>1.92</v>
      </c>
      <c r="K220" s="2">
        <v>0</v>
      </c>
      <c r="L220" s="2">
        <v>3.7</v>
      </c>
      <c r="M220" s="2">
        <v>673348.56</v>
      </c>
      <c r="N220" s="2">
        <v>69464.59</v>
      </c>
    </row>
    <row r="221" spans="1:14">
      <c r="A221" s="2" t="s">
        <v>76</v>
      </c>
      <c r="B221" s="3">
        <v>45748</v>
      </c>
      <c r="C221" s="2" t="s">
        <v>20</v>
      </c>
      <c r="D221" s="2" t="s">
        <v>21</v>
      </c>
      <c r="E221" s="2">
        <v>16451.849999999999</v>
      </c>
      <c r="F221" s="2">
        <v>4678</v>
      </c>
      <c r="G221" s="2">
        <v>0.13300000000000001</v>
      </c>
      <c r="H221" s="2">
        <v>11</v>
      </c>
      <c r="I221" s="2">
        <v>95.9</v>
      </c>
      <c r="J221" s="2">
        <v>3.1</v>
      </c>
      <c r="K221" s="2">
        <v>0</v>
      </c>
      <c r="L221" s="2">
        <v>3.9</v>
      </c>
      <c r="M221" s="2">
        <v>606278.30000000005</v>
      </c>
      <c r="N221" s="2">
        <v>102213.26</v>
      </c>
    </row>
    <row r="222" spans="1:14">
      <c r="A222" s="2" t="s">
        <v>77</v>
      </c>
      <c r="B222" s="3">
        <v>45658</v>
      </c>
      <c r="C222" s="2" t="s">
        <v>15</v>
      </c>
      <c r="D222" s="2" t="s">
        <v>18</v>
      </c>
      <c r="E222" s="2">
        <v>53367.73</v>
      </c>
      <c r="F222" s="2">
        <v>7291</v>
      </c>
      <c r="G222" s="2">
        <v>0.14599999999999999</v>
      </c>
      <c r="H222" s="2">
        <v>18</v>
      </c>
      <c r="I222" s="2">
        <v>90.6</v>
      </c>
      <c r="J222" s="2">
        <v>6.34</v>
      </c>
      <c r="K222" s="2">
        <v>1</v>
      </c>
      <c r="L222" s="2">
        <v>3.8</v>
      </c>
      <c r="M222" s="2">
        <v>712219.81</v>
      </c>
      <c r="N222" s="2">
        <v>85906.54</v>
      </c>
    </row>
    <row r="223" spans="1:14">
      <c r="A223" s="2" t="s">
        <v>77</v>
      </c>
      <c r="B223" s="3">
        <v>45689</v>
      </c>
      <c r="C223" s="2" t="s">
        <v>15</v>
      </c>
      <c r="D223" s="2" t="s">
        <v>18</v>
      </c>
      <c r="E223" s="2">
        <v>27194.639999999999</v>
      </c>
      <c r="F223" s="2">
        <v>7404</v>
      </c>
      <c r="G223" s="2">
        <v>8.7999999999999995E-2</v>
      </c>
      <c r="H223" s="2">
        <v>18</v>
      </c>
      <c r="I223" s="2">
        <v>90.2</v>
      </c>
      <c r="J223" s="2">
        <v>1.2</v>
      </c>
      <c r="K223" s="2">
        <v>0</v>
      </c>
      <c r="L223" s="2">
        <v>3.4</v>
      </c>
      <c r="M223" s="2">
        <v>672670.54</v>
      </c>
      <c r="N223" s="2">
        <v>132684.18</v>
      </c>
    </row>
    <row r="224" spans="1:14">
      <c r="A224" s="2" t="s">
        <v>77</v>
      </c>
      <c r="B224" s="3">
        <v>45717</v>
      </c>
      <c r="C224" s="2" t="s">
        <v>15</v>
      </c>
      <c r="D224" s="2" t="s">
        <v>18</v>
      </c>
      <c r="E224" s="2">
        <v>66962.740000000005</v>
      </c>
      <c r="F224" s="2">
        <v>7880</v>
      </c>
      <c r="G224" s="2">
        <v>0.11600000000000001</v>
      </c>
      <c r="H224" s="2">
        <v>19</v>
      </c>
      <c r="I224" s="2">
        <v>90.4</v>
      </c>
      <c r="J224" s="2">
        <v>4.5</v>
      </c>
      <c r="K224" s="2">
        <v>0</v>
      </c>
      <c r="L224" s="2">
        <v>3.3</v>
      </c>
      <c r="M224" s="2">
        <v>732667.92</v>
      </c>
      <c r="N224" s="2">
        <v>128654.46</v>
      </c>
    </row>
    <row r="225" spans="1:14">
      <c r="A225" s="2" t="s">
        <v>77</v>
      </c>
      <c r="B225" s="3">
        <v>45748</v>
      </c>
      <c r="C225" s="2" t="s">
        <v>15</v>
      </c>
      <c r="D225" s="2" t="s">
        <v>18</v>
      </c>
      <c r="E225" s="2">
        <v>73540.990000000005</v>
      </c>
      <c r="F225" s="2">
        <v>8773</v>
      </c>
      <c r="G225" s="2">
        <v>3.5000000000000003E-2</v>
      </c>
      <c r="H225" s="2">
        <v>21</v>
      </c>
      <c r="I225" s="2">
        <v>84.4</v>
      </c>
      <c r="J225" s="2">
        <v>6.68</v>
      </c>
      <c r="K225" s="2">
        <v>0</v>
      </c>
      <c r="L225" s="2">
        <v>3.6</v>
      </c>
      <c r="M225" s="2">
        <v>723531.4</v>
      </c>
      <c r="N225" s="2">
        <v>108794.85</v>
      </c>
    </row>
    <row r="226" spans="1:14">
      <c r="A226" s="2" t="s">
        <v>78</v>
      </c>
      <c r="B226" s="3">
        <v>45658</v>
      </c>
      <c r="C226" s="2" t="s">
        <v>15</v>
      </c>
      <c r="D226" s="2" t="s">
        <v>28</v>
      </c>
      <c r="E226" s="2">
        <v>68212.289999999994</v>
      </c>
      <c r="F226" s="2">
        <v>4713</v>
      </c>
      <c r="G226" s="2">
        <v>0.19800000000000001</v>
      </c>
      <c r="H226" s="2">
        <v>15</v>
      </c>
      <c r="I226" s="2">
        <v>82.6</v>
      </c>
      <c r="J226" s="2">
        <v>4.07</v>
      </c>
      <c r="K226" s="2">
        <v>1</v>
      </c>
      <c r="L226" s="2">
        <v>3</v>
      </c>
      <c r="M226" s="2">
        <v>641564.6</v>
      </c>
      <c r="N226" s="2">
        <v>90468.96</v>
      </c>
    </row>
    <row r="227" spans="1:14">
      <c r="A227" s="2" t="s">
        <v>78</v>
      </c>
      <c r="B227" s="3">
        <v>45689</v>
      </c>
      <c r="C227" s="2" t="s">
        <v>15</v>
      </c>
      <c r="D227" s="2" t="s">
        <v>28</v>
      </c>
      <c r="E227" s="2">
        <v>57225.98</v>
      </c>
      <c r="F227" s="2">
        <v>2842</v>
      </c>
      <c r="G227" s="2">
        <v>0.112</v>
      </c>
      <c r="H227" s="2">
        <v>10</v>
      </c>
      <c r="I227" s="2">
        <v>79.5</v>
      </c>
      <c r="J227" s="2">
        <v>5.45</v>
      </c>
      <c r="K227" s="2">
        <v>0</v>
      </c>
      <c r="L227" s="2">
        <v>3.4</v>
      </c>
      <c r="M227" s="2">
        <v>536545.49</v>
      </c>
      <c r="N227" s="2">
        <v>97917.45</v>
      </c>
    </row>
    <row r="228" spans="1:14">
      <c r="A228" s="2" t="s">
        <v>78</v>
      </c>
      <c r="B228" s="3">
        <v>45717</v>
      </c>
      <c r="C228" s="2" t="s">
        <v>15</v>
      </c>
      <c r="D228" s="2" t="s">
        <v>28</v>
      </c>
      <c r="E228" s="2">
        <v>42932.02</v>
      </c>
      <c r="F228" s="2">
        <v>3872</v>
      </c>
      <c r="G228" s="2">
        <v>0.17100000000000001</v>
      </c>
      <c r="H228" s="2">
        <v>12</v>
      </c>
      <c r="I228" s="2">
        <v>83.2</v>
      </c>
      <c r="J228" s="2">
        <v>15.58</v>
      </c>
      <c r="K228" s="2">
        <v>0</v>
      </c>
      <c r="L228" s="2">
        <v>3.3</v>
      </c>
      <c r="M228" s="2">
        <v>527681.56000000006</v>
      </c>
      <c r="N228" s="2">
        <v>63153.05</v>
      </c>
    </row>
    <row r="229" spans="1:14">
      <c r="A229" s="2" t="s">
        <v>78</v>
      </c>
      <c r="B229" s="3">
        <v>45748</v>
      </c>
      <c r="C229" s="2" t="s">
        <v>15</v>
      </c>
      <c r="D229" s="2" t="s">
        <v>28</v>
      </c>
      <c r="E229" s="2">
        <v>39341.449999999997</v>
      </c>
      <c r="F229" s="2">
        <v>1375</v>
      </c>
      <c r="G229" s="2">
        <v>9.2999999999999999E-2</v>
      </c>
      <c r="H229" s="2">
        <v>5</v>
      </c>
      <c r="I229" s="2">
        <v>95</v>
      </c>
      <c r="J229" s="2">
        <v>5.32</v>
      </c>
      <c r="K229" s="2">
        <v>0</v>
      </c>
      <c r="L229" s="2"/>
      <c r="M229" s="2">
        <v>529598.93999999994</v>
      </c>
      <c r="N229" s="2">
        <v>84334.33</v>
      </c>
    </row>
    <row r="230" spans="1:14">
      <c r="A230" s="2" t="s">
        <v>79</v>
      </c>
      <c r="B230" s="3">
        <v>45658</v>
      </c>
      <c r="C230" s="2" t="s">
        <v>15</v>
      </c>
      <c r="D230" s="2" t="s">
        <v>18</v>
      </c>
      <c r="E230" s="2">
        <v>37324.230000000003</v>
      </c>
      <c r="F230" s="2">
        <v>5957</v>
      </c>
      <c r="G230" s="2">
        <v>7.0999999999999994E-2</v>
      </c>
      <c r="H230" s="2">
        <v>12</v>
      </c>
      <c r="I230" s="2">
        <v>85.9</v>
      </c>
      <c r="J230" s="2">
        <v>0.37</v>
      </c>
      <c r="K230" s="2">
        <v>0</v>
      </c>
      <c r="L230" s="2">
        <v>3.8</v>
      </c>
      <c r="M230" s="2">
        <v>570963.31000000006</v>
      </c>
      <c r="N230" s="2">
        <v>87342.25</v>
      </c>
    </row>
    <row r="231" spans="1:14">
      <c r="A231" s="2" t="s">
        <v>79</v>
      </c>
      <c r="B231" s="3">
        <v>45689</v>
      </c>
      <c r="C231" s="2" t="s">
        <v>15</v>
      </c>
      <c r="D231" s="2" t="s">
        <v>18</v>
      </c>
      <c r="E231" s="2">
        <v>113736</v>
      </c>
      <c r="F231" s="2">
        <v>8961</v>
      </c>
      <c r="G231" s="2">
        <v>0.20200000000000001</v>
      </c>
      <c r="H231" s="2">
        <v>24</v>
      </c>
      <c r="I231" s="2">
        <v>86.2</v>
      </c>
      <c r="J231" s="2">
        <v>21.63</v>
      </c>
      <c r="K231" s="2">
        <v>0</v>
      </c>
      <c r="L231" s="2">
        <v>4</v>
      </c>
      <c r="M231" s="2">
        <v>870937.4</v>
      </c>
      <c r="N231" s="2">
        <v>175282.74</v>
      </c>
    </row>
    <row r="232" spans="1:14">
      <c r="A232" s="2" t="s">
        <v>79</v>
      </c>
      <c r="B232" s="3">
        <v>45717</v>
      </c>
      <c r="C232" s="2" t="s">
        <v>15</v>
      </c>
      <c r="D232" s="2" t="s">
        <v>18</v>
      </c>
      <c r="E232" s="2">
        <v>33173.949999999997</v>
      </c>
      <c r="F232" s="2">
        <v>6545</v>
      </c>
      <c r="G232" s="2">
        <v>0.16900000000000001</v>
      </c>
      <c r="H232" s="2">
        <v>15</v>
      </c>
      <c r="I232" s="2">
        <v>84.4</v>
      </c>
      <c r="J232" s="2">
        <v>2.48</v>
      </c>
      <c r="K232" s="2">
        <v>0</v>
      </c>
      <c r="L232" s="2">
        <v>3.9</v>
      </c>
      <c r="M232" s="2">
        <v>596969.27</v>
      </c>
      <c r="N232" s="2">
        <v>105669.51</v>
      </c>
    </row>
    <row r="233" spans="1:14">
      <c r="A233" s="2" t="s">
        <v>79</v>
      </c>
      <c r="B233" s="3">
        <v>45748</v>
      </c>
      <c r="C233" s="2" t="s">
        <v>15</v>
      </c>
      <c r="D233" s="2" t="s">
        <v>18</v>
      </c>
      <c r="E233" s="2">
        <v>25818.080000000002</v>
      </c>
      <c r="F233" s="2">
        <v>5457</v>
      </c>
      <c r="G233" s="2">
        <v>0</v>
      </c>
      <c r="H233" s="2">
        <v>11</v>
      </c>
      <c r="I233" s="2">
        <v>95.4</v>
      </c>
      <c r="J233" s="2"/>
      <c r="K233" s="2">
        <v>0</v>
      </c>
      <c r="L233" s="2">
        <v>3.7</v>
      </c>
      <c r="M233" s="2">
        <v>647512.85</v>
      </c>
      <c r="N233" s="2">
        <v>153835.57</v>
      </c>
    </row>
    <row r="234" spans="1:14">
      <c r="A234" s="2" t="s">
        <v>80</v>
      </c>
      <c r="B234" s="3">
        <v>45658</v>
      </c>
      <c r="C234" s="2" t="s">
        <v>27</v>
      </c>
      <c r="D234" s="2" t="s">
        <v>16</v>
      </c>
      <c r="E234" s="2">
        <v>47241.919999999998</v>
      </c>
      <c r="F234" s="2">
        <v>4264</v>
      </c>
      <c r="G234" s="2">
        <v>6.9000000000000006E-2</v>
      </c>
      <c r="H234" s="2">
        <v>13</v>
      </c>
      <c r="I234" s="2">
        <v>95.3</v>
      </c>
      <c r="J234" s="2">
        <v>0.85</v>
      </c>
      <c r="K234" s="2">
        <v>0</v>
      </c>
      <c r="L234" s="2">
        <v>4.3</v>
      </c>
      <c r="M234" s="2">
        <v>658072.14</v>
      </c>
      <c r="N234" s="2">
        <v>110595.89</v>
      </c>
    </row>
    <row r="235" spans="1:14">
      <c r="A235" s="2" t="s">
        <v>80</v>
      </c>
      <c r="B235" s="3">
        <v>45689</v>
      </c>
      <c r="C235" s="2" t="s">
        <v>27</v>
      </c>
      <c r="D235" s="2" t="s">
        <v>16</v>
      </c>
      <c r="E235" s="2">
        <v>61650.79</v>
      </c>
      <c r="F235" s="2">
        <v>5321</v>
      </c>
      <c r="G235" s="2">
        <v>0.126</v>
      </c>
      <c r="H235" s="2">
        <v>17</v>
      </c>
      <c r="I235" s="2">
        <v>89.2</v>
      </c>
      <c r="J235" s="2">
        <v>2.13</v>
      </c>
      <c r="K235" s="2">
        <v>0</v>
      </c>
      <c r="L235" s="2">
        <v>4</v>
      </c>
      <c r="M235" s="2">
        <v>723305.11</v>
      </c>
      <c r="N235" s="2">
        <v>128468.7</v>
      </c>
    </row>
    <row r="236" spans="1:14">
      <c r="A236" s="2" t="s">
        <v>80</v>
      </c>
      <c r="B236" s="3">
        <v>45717</v>
      </c>
      <c r="C236" s="2" t="s">
        <v>27</v>
      </c>
      <c r="D236" s="2" t="s">
        <v>16</v>
      </c>
      <c r="E236" s="2">
        <v>62582.71</v>
      </c>
      <c r="F236" s="2">
        <v>5479</v>
      </c>
      <c r="G236" s="2">
        <v>4.8000000000000001E-2</v>
      </c>
      <c r="H236" s="2">
        <v>16</v>
      </c>
      <c r="I236" s="2">
        <v>81.2</v>
      </c>
      <c r="J236" s="2">
        <v>1.46</v>
      </c>
      <c r="K236" s="2">
        <v>0</v>
      </c>
      <c r="L236" s="2">
        <v>4.5</v>
      </c>
      <c r="M236" s="2">
        <v>640666.53</v>
      </c>
      <c r="N236" s="2">
        <v>134919.16</v>
      </c>
    </row>
    <row r="237" spans="1:14">
      <c r="A237" s="2" t="s">
        <v>80</v>
      </c>
      <c r="B237" s="3">
        <v>45748</v>
      </c>
      <c r="C237" s="2" t="s">
        <v>27</v>
      </c>
      <c r="D237" s="2" t="s">
        <v>16</v>
      </c>
      <c r="E237" s="2">
        <v>47944.14</v>
      </c>
      <c r="F237" s="2">
        <v>6169</v>
      </c>
      <c r="G237" s="2">
        <v>0.11899999999999999</v>
      </c>
      <c r="H237" s="2">
        <v>17</v>
      </c>
      <c r="I237" s="2">
        <v>92.2</v>
      </c>
      <c r="J237" s="2">
        <v>3.02</v>
      </c>
      <c r="K237" s="2">
        <v>0</v>
      </c>
      <c r="L237" s="2">
        <v>4.0999999999999996</v>
      </c>
      <c r="M237" s="2">
        <v>670629.48</v>
      </c>
      <c r="N237" s="2">
        <v>100140.8</v>
      </c>
    </row>
    <row r="238" spans="1:14">
      <c r="A238" s="2" t="s">
        <v>81</v>
      </c>
      <c r="B238" s="3">
        <v>45658</v>
      </c>
      <c r="C238" s="2" t="s">
        <v>27</v>
      </c>
      <c r="D238" s="2" t="s">
        <v>28</v>
      </c>
      <c r="E238" s="2">
        <v>46495.4</v>
      </c>
      <c r="F238" s="2">
        <v>9908</v>
      </c>
      <c r="G238" s="2">
        <v>0.121</v>
      </c>
      <c r="H238" s="2">
        <v>22</v>
      </c>
      <c r="I238" s="2">
        <v>89.4</v>
      </c>
      <c r="J238" s="2">
        <v>3.22</v>
      </c>
      <c r="K238" s="2">
        <v>0</v>
      </c>
      <c r="L238" s="2">
        <v>3.7</v>
      </c>
      <c r="M238" s="2">
        <v>721079.35</v>
      </c>
      <c r="N238" s="2">
        <v>115295.05</v>
      </c>
    </row>
    <row r="239" spans="1:14">
      <c r="A239" s="2" t="s">
        <v>81</v>
      </c>
      <c r="B239" s="3">
        <v>45689</v>
      </c>
      <c r="C239" s="2" t="s">
        <v>27</v>
      </c>
      <c r="D239" s="2" t="s">
        <v>28</v>
      </c>
      <c r="E239" s="2">
        <v>72961.95</v>
      </c>
      <c r="F239" s="2">
        <v>9996</v>
      </c>
      <c r="G239" s="2">
        <v>0.106</v>
      </c>
      <c r="H239" s="2">
        <v>22</v>
      </c>
      <c r="I239" s="2">
        <v>89.1</v>
      </c>
      <c r="J239" s="2">
        <v>15.66</v>
      </c>
      <c r="K239" s="2">
        <v>0</v>
      </c>
      <c r="L239" s="2">
        <v>3.4</v>
      </c>
      <c r="M239" s="2">
        <v>810355.02</v>
      </c>
      <c r="N239" s="2">
        <v>131510</v>
      </c>
    </row>
    <row r="240" spans="1:14">
      <c r="A240" s="2" t="s">
        <v>81</v>
      </c>
      <c r="B240" s="3">
        <v>45717</v>
      </c>
      <c r="C240" s="2" t="s">
        <v>27</v>
      </c>
      <c r="D240" s="2" t="s">
        <v>28</v>
      </c>
      <c r="E240" s="2">
        <v>59060.05</v>
      </c>
      <c r="F240" s="2">
        <v>9702</v>
      </c>
      <c r="G240" s="2">
        <v>0.20100000000000001</v>
      </c>
      <c r="H240" s="2">
        <v>23</v>
      </c>
      <c r="I240" s="2">
        <v>80.900000000000006</v>
      </c>
      <c r="J240" s="2">
        <v>6.96</v>
      </c>
      <c r="K240" s="2">
        <v>0</v>
      </c>
      <c r="L240" s="2">
        <v>3.2</v>
      </c>
      <c r="M240" s="2">
        <v>761919.25</v>
      </c>
      <c r="N240" s="2">
        <v>111893.06</v>
      </c>
    </row>
    <row r="241" spans="1:14">
      <c r="A241" s="2" t="s">
        <v>81</v>
      </c>
      <c r="B241" s="3">
        <v>45748</v>
      </c>
      <c r="C241" s="2" t="s">
        <v>27</v>
      </c>
      <c r="D241" s="2" t="s">
        <v>28</v>
      </c>
      <c r="E241" s="2">
        <v>26248.1</v>
      </c>
      <c r="F241" s="2">
        <v>9314</v>
      </c>
      <c r="G241" s="2">
        <v>0.186</v>
      </c>
      <c r="H241" s="2">
        <v>21</v>
      </c>
      <c r="I241" s="2">
        <v>83.7</v>
      </c>
      <c r="J241" s="2">
        <v>4.62</v>
      </c>
      <c r="K241" s="2">
        <v>0</v>
      </c>
      <c r="L241" s="2">
        <v>3.3</v>
      </c>
      <c r="M241" s="2">
        <v>737070.18</v>
      </c>
      <c r="N241" s="2">
        <v>117593.97</v>
      </c>
    </row>
    <row r="242" spans="1:14">
      <c r="A242" s="2" t="s">
        <v>82</v>
      </c>
      <c r="B242" s="3">
        <v>45658</v>
      </c>
      <c r="C242" s="2" t="s">
        <v>24</v>
      </c>
      <c r="D242" s="2" t="s">
        <v>21</v>
      </c>
      <c r="E242" s="2">
        <v>69900.12</v>
      </c>
      <c r="F242" s="2">
        <v>8055</v>
      </c>
      <c r="G242" s="2">
        <v>0.28100000000000003</v>
      </c>
      <c r="H242" s="2">
        <v>22</v>
      </c>
      <c r="I242" s="2">
        <v>85.6</v>
      </c>
      <c r="J242" s="2">
        <v>10.68</v>
      </c>
      <c r="K242" s="2">
        <v>1</v>
      </c>
      <c r="L242" s="2">
        <v>2.9</v>
      </c>
      <c r="M242" s="2">
        <v>776992.93</v>
      </c>
      <c r="N242" s="2">
        <v>101598.32</v>
      </c>
    </row>
    <row r="243" spans="1:14">
      <c r="A243" s="2" t="s">
        <v>82</v>
      </c>
      <c r="B243" s="3">
        <v>45689</v>
      </c>
      <c r="C243" s="2" t="s">
        <v>24</v>
      </c>
      <c r="D243" s="2" t="s">
        <v>21</v>
      </c>
      <c r="E243" s="2">
        <v>51781.599999999999</v>
      </c>
      <c r="F243" s="2">
        <v>5648</v>
      </c>
      <c r="G243" s="2">
        <v>5.8999999999999997E-2</v>
      </c>
      <c r="H243" s="2">
        <v>13</v>
      </c>
      <c r="I243" s="2">
        <v>85.5</v>
      </c>
      <c r="J243" s="2">
        <v>4.04</v>
      </c>
      <c r="K243" s="2">
        <v>0</v>
      </c>
      <c r="L243" s="2">
        <v>3.7</v>
      </c>
      <c r="M243" s="2">
        <v>676337.41</v>
      </c>
      <c r="N243" s="2">
        <v>104355.77</v>
      </c>
    </row>
    <row r="244" spans="1:14">
      <c r="A244" s="2" t="s">
        <v>82</v>
      </c>
      <c r="B244" s="3">
        <v>45717</v>
      </c>
      <c r="C244" s="2" t="s">
        <v>24</v>
      </c>
      <c r="D244" s="2" t="s">
        <v>21</v>
      </c>
      <c r="E244" s="2">
        <v>70799.64</v>
      </c>
      <c r="F244" s="2">
        <v>10076</v>
      </c>
      <c r="G244" s="2">
        <v>0.152</v>
      </c>
      <c r="H244" s="2">
        <v>24</v>
      </c>
      <c r="I244" s="2">
        <v>84.8</v>
      </c>
      <c r="J244" s="2">
        <v>1.87</v>
      </c>
      <c r="K244" s="2">
        <v>0</v>
      </c>
      <c r="L244" s="2">
        <v>3.5</v>
      </c>
      <c r="M244" s="2">
        <v>828219.67</v>
      </c>
      <c r="N244" s="2">
        <v>179806.87</v>
      </c>
    </row>
    <row r="245" spans="1:14">
      <c r="A245" s="2" t="s">
        <v>82</v>
      </c>
      <c r="B245" s="3">
        <v>45748</v>
      </c>
      <c r="C245" s="2" t="s">
        <v>24</v>
      </c>
      <c r="D245" s="2" t="s">
        <v>21</v>
      </c>
      <c r="E245" s="2">
        <v>53546.34</v>
      </c>
      <c r="F245" s="2">
        <v>8004</v>
      </c>
      <c r="G245" s="2">
        <v>0</v>
      </c>
      <c r="H245" s="2">
        <v>21</v>
      </c>
      <c r="I245" s="2">
        <v>95.2</v>
      </c>
      <c r="J245" s="2">
        <v>2.83</v>
      </c>
      <c r="K245" s="2">
        <v>0</v>
      </c>
      <c r="L245" s="2">
        <v>3</v>
      </c>
      <c r="M245" s="2">
        <v>763159.92</v>
      </c>
      <c r="N245" s="2">
        <v>177104.87</v>
      </c>
    </row>
    <row r="246" spans="1:14">
      <c r="A246" s="2" t="s">
        <v>83</v>
      </c>
      <c r="B246" s="3">
        <v>45658</v>
      </c>
      <c r="C246" s="2" t="s">
        <v>15</v>
      </c>
      <c r="D246" s="2" t="s">
        <v>18</v>
      </c>
      <c r="E246" s="2">
        <v>76942.2</v>
      </c>
      <c r="F246" s="2">
        <v>8934</v>
      </c>
      <c r="G246" s="2">
        <v>8.4000000000000005E-2</v>
      </c>
      <c r="H246" s="2">
        <v>20</v>
      </c>
      <c r="I246" s="2">
        <v>91</v>
      </c>
      <c r="J246" s="2">
        <v>0.95</v>
      </c>
      <c r="K246" s="2">
        <v>0</v>
      </c>
      <c r="L246" s="2">
        <v>3.2</v>
      </c>
      <c r="M246" s="2">
        <v>802001.68</v>
      </c>
      <c r="N246" s="2">
        <v>159715.82</v>
      </c>
    </row>
    <row r="247" spans="1:14">
      <c r="A247" s="2" t="s">
        <v>83</v>
      </c>
      <c r="B247" s="3">
        <v>45689</v>
      </c>
      <c r="C247" s="2" t="s">
        <v>15</v>
      </c>
      <c r="D247" s="2" t="s">
        <v>18</v>
      </c>
      <c r="E247" s="2">
        <v>48060.78</v>
      </c>
      <c r="F247" s="2">
        <v>8733</v>
      </c>
      <c r="G247" s="2">
        <v>0</v>
      </c>
      <c r="H247" s="2">
        <v>20</v>
      </c>
      <c r="I247" s="2">
        <v>89.9</v>
      </c>
      <c r="J247" s="2">
        <v>0.8</v>
      </c>
      <c r="K247" s="2">
        <v>0</v>
      </c>
      <c r="L247" s="2">
        <v>3.4</v>
      </c>
      <c r="M247" s="2">
        <v>750471.34</v>
      </c>
      <c r="N247" s="2">
        <v>133788.04</v>
      </c>
    </row>
    <row r="248" spans="1:14">
      <c r="A248" s="2" t="s">
        <v>83</v>
      </c>
      <c r="B248" s="3">
        <v>45717</v>
      </c>
      <c r="C248" s="2" t="s">
        <v>15</v>
      </c>
      <c r="D248" s="2" t="s">
        <v>18</v>
      </c>
      <c r="E248" s="2">
        <v>57390.04</v>
      </c>
      <c r="F248" s="2">
        <v>7374</v>
      </c>
      <c r="G248" s="2">
        <v>0.21</v>
      </c>
      <c r="H248" s="2">
        <v>21</v>
      </c>
      <c r="I248" s="2">
        <v>91.8</v>
      </c>
      <c r="J248" s="2">
        <v>0.2</v>
      </c>
      <c r="K248" s="2">
        <v>0</v>
      </c>
      <c r="L248" s="2">
        <v>3.1</v>
      </c>
      <c r="M248" s="2">
        <v>679230.86</v>
      </c>
      <c r="N248" s="2">
        <v>106927.58</v>
      </c>
    </row>
    <row r="249" spans="1:14">
      <c r="A249" s="2" t="s">
        <v>83</v>
      </c>
      <c r="B249" s="3">
        <v>45748</v>
      </c>
      <c r="C249" s="2" t="s">
        <v>15</v>
      </c>
      <c r="D249" s="2" t="s">
        <v>18</v>
      </c>
      <c r="E249" s="2">
        <v>21536.18</v>
      </c>
      <c r="F249" s="2">
        <v>8119</v>
      </c>
      <c r="G249" s="2">
        <v>0.22700000000000001</v>
      </c>
      <c r="H249" s="2">
        <v>20</v>
      </c>
      <c r="I249" s="2">
        <v>90.4</v>
      </c>
      <c r="J249" s="2">
        <v>1.7</v>
      </c>
      <c r="K249" s="2">
        <v>0</v>
      </c>
      <c r="L249" s="2">
        <v>3.3</v>
      </c>
      <c r="M249" s="2">
        <v>679888.74</v>
      </c>
      <c r="N249" s="2">
        <v>83406.89</v>
      </c>
    </row>
    <row r="250" spans="1:14">
      <c r="A250" s="2" t="s">
        <v>84</v>
      </c>
      <c r="B250" s="3">
        <v>45658</v>
      </c>
      <c r="C250" s="2" t="s">
        <v>20</v>
      </c>
      <c r="D250" s="2" t="s">
        <v>18</v>
      </c>
      <c r="E250" s="2">
        <v>40923.67</v>
      </c>
      <c r="F250" s="2">
        <v>3875</v>
      </c>
      <c r="G250" s="2">
        <v>0.15</v>
      </c>
      <c r="H250" s="2">
        <v>10</v>
      </c>
      <c r="I250" s="2">
        <v>96.1</v>
      </c>
      <c r="J250" s="2"/>
      <c r="K250" s="2">
        <v>0</v>
      </c>
      <c r="L250" s="2">
        <v>3.8</v>
      </c>
      <c r="M250" s="2">
        <v>606783.67000000004</v>
      </c>
      <c r="N250" s="2">
        <v>74515.87</v>
      </c>
    </row>
    <row r="251" spans="1:14">
      <c r="A251" s="2" t="s">
        <v>84</v>
      </c>
      <c r="B251" s="3">
        <v>45689</v>
      </c>
      <c r="C251" s="2" t="s">
        <v>20</v>
      </c>
      <c r="D251" s="2" t="s">
        <v>18</v>
      </c>
      <c r="E251" s="2">
        <v>72932.55</v>
      </c>
      <c r="F251" s="2">
        <v>5765</v>
      </c>
      <c r="G251" s="2">
        <v>2.5999999999999999E-2</v>
      </c>
      <c r="H251" s="2">
        <v>17</v>
      </c>
      <c r="I251" s="2">
        <v>81.8</v>
      </c>
      <c r="J251" s="2">
        <v>5.0999999999999996</v>
      </c>
      <c r="K251" s="2">
        <v>0</v>
      </c>
      <c r="L251" s="2">
        <v>3.6</v>
      </c>
      <c r="M251" s="2">
        <v>642751.42000000004</v>
      </c>
      <c r="N251" s="2">
        <v>131942.15</v>
      </c>
    </row>
    <row r="252" spans="1:14">
      <c r="A252" s="2" t="s">
        <v>84</v>
      </c>
      <c r="B252" s="3">
        <v>45717</v>
      </c>
      <c r="C252" s="2" t="s">
        <v>20</v>
      </c>
      <c r="D252" s="2" t="s">
        <v>18</v>
      </c>
      <c r="E252" s="2">
        <v>38361.93</v>
      </c>
      <c r="F252" s="2">
        <v>6322</v>
      </c>
      <c r="G252" s="2">
        <v>0.27300000000000002</v>
      </c>
      <c r="H252" s="2">
        <v>15</v>
      </c>
      <c r="I252" s="2">
        <v>88.4</v>
      </c>
      <c r="J252" s="2">
        <v>0.83</v>
      </c>
      <c r="K252" s="2">
        <v>0</v>
      </c>
      <c r="L252" s="2">
        <v>4</v>
      </c>
      <c r="M252" s="2">
        <v>647953.78</v>
      </c>
      <c r="N252" s="2">
        <v>118497.43</v>
      </c>
    </row>
    <row r="253" spans="1:14">
      <c r="A253" s="2" t="s">
        <v>84</v>
      </c>
      <c r="B253" s="3">
        <v>45748</v>
      </c>
      <c r="C253" s="2" t="s">
        <v>20</v>
      </c>
      <c r="D253" s="2" t="s">
        <v>18</v>
      </c>
      <c r="E253" s="2">
        <v>97480.94</v>
      </c>
      <c r="F253" s="2">
        <v>6840</v>
      </c>
      <c r="G253" s="2">
        <v>8.6999999999999994E-2</v>
      </c>
      <c r="H253" s="2">
        <v>14</v>
      </c>
      <c r="I253" s="2">
        <v>79.2</v>
      </c>
      <c r="J253" s="2">
        <v>1.1399999999999999</v>
      </c>
      <c r="K253" s="2">
        <v>0</v>
      </c>
      <c r="L253" s="2">
        <v>4</v>
      </c>
      <c r="M253" s="2">
        <v>729440.45</v>
      </c>
      <c r="N253" s="2">
        <v>87614.29</v>
      </c>
    </row>
    <row r="254" spans="1:14">
      <c r="A254" s="2" t="s">
        <v>85</v>
      </c>
      <c r="B254" s="3">
        <v>45658</v>
      </c>
      <c r="C254" s="2" t="s">
        <v>24</v>
      </c>
      <c r="D254" s="2" t="s">
        <v>21</v>
      </c>
      <c r="E254" s="2">
        <v>81801.8</v>
      </c>
      <c r="F254" s="2">
        <v>6782</v>
      </c>
      <c r="G254" s="2">
        <v>0.05</v>
      </c>
      <c r="H254" s="2">
        <v>16</v>
      </c>
      <c r="I254" s="2">
        <v>99</v>
      </c>
      <c r="J254" s="2">
        <v>9.5399999999999991</v>
      </c>
      <c r="K254" s="2">
        <v>0</v>
      </c>
      <c r="L254" s="2">
        <v>3.7</v>
      </c>
      <c r="M254" s="2">
        <v>764949</v>
      </c>
      <c r="N254" s="2">
        <v>148322.43</v>
      </c>
    </row>
    <row r="255" spans="1:14">
      <c r="A255" s="2" t="s">
        <v>85</v>
      </c>
      <c r="B255" s="3">
        <v>45689</v>
      </c>
      <c r="C255" s="2" t="s">
        <v>24</v>
      </c>
      <c r="D255" s="2" t="s">
        <v>21</v>
      </c>
      <c r="E255" s="2">
        <v>63582.11</v>
      </c>
      <c r="F255" s="2">
        <v>6856</v>
      </c>
      <c r="G255" s="2">
        <v>7.3999999999999996E-2</v>
      </c>
      <c r="H255" s="2">
        <v>17</v>
      </c>
      <c r="I255" s="2">
        <v>89.5</v>
      </c>
      <c r="J255" s="2">
        <v>5.48</v>
      </c>
      <c r="K255" s="2">
        <v>0</v>
      </c>
      <c r="L255" s="2">
        <v>3.2</v>
      </c>
      <c r="M255" s="2">
        <v>799046.94</v>
      </c>
      <c r="N255" s="2">
        <v>144553.64000000001</v>
      </c>
    </row>
    <row r="256" spans="1:14">
      <c r="A256" s="2" t="s">
        <v>85</v>
      </c>
      <c r="B256" s="3">
        <v>45717</v>
      </c>
      <c r="C256" s="2" t="s">
        <v>24</v>
      </c>
      <c r="D256" s="2" t="s">
        <v>21</v>
      </c>
      <c r="E256" s="2">
        <v>75412.740000000005</v>
      </c>
      <c r="F256" s="2">
        <v>5641</v>
      </c>
      <c r="G256" s="2">
        <v>5.8999999999999997E-2</v>
      </c>
      <c r="H256" s="2">
        <v>13</v>
      </c>
      <c r="I256" s="2">
        <v>87.9</v>
      </c>
      <c r="J256" s="2">
        <v>0.84</v>
      </c>
      <c r="K256" s="2">
        <v>0</v>
      </c>
      <c r="L256" s="2">
        <v>3.6</v>
      </c>
      <c r="M256" s="2">
        <v>720079.54</v>
      </c>
      <c r="N256" s="2">
        <v>119499.47</v>
      </c>
    </row>
    <row r="257" spans="1:14">
      <c r="A257" s="2" t="s">
        <v>85</v>
      </c>
      <c r="B257" s="3">
        <v>45748</v>
      </c>
      <c r="C257" s="2" t="s">
        <v>24</v>
      </c>
      <c r="D257" s="2" t="s">
        <v>21</v>
      </c>
      <c r="E257" s="2">
        <v>36290.080000000002</v>
      </c>
      <c r="F257" s="2">
        <v>5787</v>
      </c>
      <c r="G257" s="2">
        <v>0</v>
      </c>
      <c r="H257" s="2">
        <v>17</v>
      </c>
      <c r="I257" s="2">
        <v>88.3</v>
      </c>
      <c r="J257" s="2">
        <v>4.1900000000000004</v>
      </c>
      <c r="K257" s="2">
        <v>0</v>
      </c>
      <c r="L257" s="2">
        <v>4.0999999999999996</v>
      </c>
      <c r="M257" s="2">
        <v>612390.14</v>
      </c>
      <c r="N257" s="2">
        <v>108985.74</v>
      </c>
    </row>
    <row r="258" spans="1:14">
      <c r="A258" s="2" t="s">
        <v>86</v>
      </c>
      <c r="B258" s="3">
        <v>45658</v>
      </c>
      <c r="C258" s="2" t="s">
        <v>24</v>
      </c>
      <c r="D258" s="2" t="s">
        <v>28</v>
      </c>
      <c r="E258" s="2">
        <v>65272.58</v>
      </c>
      <c r="F258" s="2">
        <v>8165</v>
      </c>
      <c r="G258" s="2">
        <v>5.0999999999999997E-2</v>
      </c>
      <c r="H258" s="2">
        <v>19</v>
      </c>
      <c r="I258" s="2">
        <v>87.8</v>
      </c>
      <c r="J258" s="2">
        <v>1.26</v>
      </c>
      <c r="K258" s="2">
        <v>1</v>
      </c>
      <c r="L258" s="2">
        <v>4.3</v>
      </c>
      <c r="M258" s="2">
        <v>840108.12</v>
      </c>
      <c r="N258" s="2">
        <v>126587.01</v>
      </c>
    </row>
    <row r="259" spans="1:14">
      <c r="A259" s="2" t="s">
        <v>86</v>
      </c>
      <c r="B259" s="3">
        <v>45689</v>
      </c>
      <c r="C259" s="2" t="s">
        <v>24</v>
      </c>
      <c r="D259" s="2" t="s">
        <v>28</v>
      </c>
      <c r="E259" s="2">
        <v>28670.43</v>
      </c>
      <c r="F259" s="2">
        <v>7574</v>
      </c>
      <c r="G259" s="2">
        <v>0.114</v>
      </c>
      <c r="H259" s="2">
        <v>19</v>
      </c>
      <c r="I259" s="2">
        <v>82.7</v>
      </c>
      <c r="J259" s="2">
        <v>2.74</v>
      </c>
      <c r="K259" s="2">
        <v>0</v>
      </c>
      <c r="L259" s="2">
        <v>4.5999999999999996</v>
      </c>
      <c r="M259" s="2">
        <v>697888.09</v>
      </c>
      <c r="N259" s="2">
        <v>116249.87</v>
      </c>
    </row>
    <row r="260" spans="1:14">
      <c r="A260" s="2" t="s">
        <v>86</v>
      </c>
      <c r="B260" s="3">
        <v>45717</v>
      </c>
      <c r="C260" s="2" t="s">
        <v>24</v>
      </c>
      <c r="D260" s="2" t="s">
        <v>28</v>
      </c>
      <c r="E260" s="2">
        <v>44189.34</v>
      </c>
      <c r="F260" s="2">
        <v>8634</v>
      </c>
      <c r="G260" s="2">
        <v>0.14299999999999999</v>
      </c>
      <c r="H260" s="2">
        <v>19</v>
      </c>
      <c r="I260" s="2">
        <v>87.5</v>
      </c>
      <c r="J260" s="2">
        <v>3.69</v>
      </c>
      <c r="K260" s="2">
        <v>0</v>
      </c>
      <c r="L260" s="2">
        <v>4.4000000000000004</v>
      </c>
      <c r="M260" s="2">
        <v>746115.59</v>
      </c>
      <c r="N260" s="2">
        <v>94662.96</v>
      </c>
    </row>
    <row r="261" spans="1:14">
      <c r="A261" s="2" t="s">
        <v>86</v>
      </c>
      <c r="B261" s="3">
        <v>45748</v>
      </c>
      <c r="C261" s="2" t="s">
        <v>24</v>
      </c>
      <c r="D261" s="2" t="s">
        <v>28</v>
      </c>
      <c r="E261" s="2">
        <v>38397.82</v>
      </c>
      <c r="F261" s="2">
        <v>7836</v>
      </c>
      <c r="G261" s="2">
        <v>7.0000000000000001E-3</v>
      </c>
      <c r="H261" s="2">
        <v>21</v>
      </c>
      <c r="I261" s="2">
        <v>92.2</v>
      </c>
      <c r="J261" s="2">
        <v>1.82</v>
      </c>
      <c r="K261" s="2">
        <v>0</v>
      </c>
      <c r="L261" s="2">
        <v>3.6</v>
      </c>
      <c r="M261" s="2">
        <v>776110.32</v>
      </c>
      <c r="N261" s="2">
        <v>139676.21</v>
      </c>
    </row>
    <row r="262" spans="1:14">
      <c r="A262" s="2" t="s">
        <v>87</v>
      </c>
      <c r="B262" s="3">
        <v>45658</v>
      </c>
      <c r="C262" s="2" t="s">
        <v>27</v>
      </c>
      <c r="D262" s="2" t="s">
        <v>18</v>
      </c>
      <c r="E262" s="2">
        <v>14519.37</v>
      </c>
      <c r="F262" s="2">
        <v>3047</v>
      </c>
      <c r="G262" s="2">
        <v>0.13500000000000001</v>
      </c>
      <c r="H262" s="2">
        <v>10</v>
      </c>
      <c r="I262" s="2">
        <v>90.3</v>
      </c>
      <c r="J262" s="2">
        <v>6.62</v>
      </c>
      <c r="K262" s="2">
        <v>0</v>
      </c>
      <c r="L262" s="2">
        <v>4.2</v>
      </c>
      <c r="M262" s="2">
        <v>528852.62</v>
      </c>
      <c r="N262" s="2">
        <v>68426.210000000006</v>
      </c>
    </row>
    <row r="263" spans="1:14">
      <c r="A263" s="2" t="s">
        <v>87</v>
      </c>
      <c r="B263" s="3">
        <v>45689</v>
      </c>
      <c r="C263" s="2" t="s">
        <v>27</v>
      </c>
      <c r="D263" s="2" t="s">
        <v>18</v>
      </c>
      <c r="E263" s="2">
        <v>43288.2</v>
      </c>
      <c r="F263" s="2">
        <v>4783</v>
      </c>
      <c r="G263" s="2">
        <v>0.16900000000000001</v>
      </c>
      <c r="H263" s="2">
        <v>13</v>
      </c>
      <c r="I263" s="2">
        <v>87.3</v>
      </c>
      <c r="J263" s="2"/>
      <c r="K263" s="2">
        <v>0</v>
      </c>
      <c r="L263" s="2">
        <v>4.2</v>
      </c>
      <c r="M263" s="2">
        <v>605751.32999999996</v>
      </c>
      <c r="N263" s="2">
        <v>60685.53</v>
      </c>
    </row>
    <row r="264" spans="1:14">
      <c r="A264" s="2" t="s">
        <v>87</v>
      </c>
      <c r="B264" s="3">
        <v>45717</v>
      </c>
      <c r="C264" s="2" t="s">
        <v>27</v>
      </c>
      <c r="D264" s="2" t="s">
        <v>18</v>
      </c>
      <c r="E264" s="2">
        <v>51450.55</v>
      </c>
      <c r="F264" s="2">
        <v>4902</v>
      </c>
      <c r="G264" s="2">
        <v>8.5999999999999993E-2</v>
      </c>
      <c r="H264" s="2">
        <v>11</v>
      </c>
      <c r="I264" s="2">
        <v>83.7</v>
      </c>
      <c r="J264" s="2">
        <v>6.92</v>
      </c>
      <c r="K264" s="2">
        <v>1</v>
      </c>
      <c r="L264" s="2">
        <v>4.2</v>
      </c>
      <c r="M264" s="2">
        <v>677640.65</v>
      </c>
      <c r="N264" s="2">
        <v>111610.89</v>
      </c>
    </row>
    <row r="265" spans="1:14">
      <c r="A265" s="2" t="s">
        <v>87</v>
      </c>
      <c r="B265" s="3">
        <v>45748</v>
      </c>
      <c r="C265" s="2" t="s">
        <v>27</v>
      </c>
      <c r="D265" s="2" t="s">
        <v>18</v>
      </c>
      <c r="E265" s="2">
        <v>58688.26</v>
      </c>
      <c r="F265" s="2">
        <v>4022</v>
      </c>
      <c r="G265" s="2">
        <v>0.217</v>
      </c>
      <c r="H265" s="2">
        <v>12</v>
      </c>
      <c r="I265" s="2">
        <v>93.8</v>
      </c>
      <c r="J265" s="2">
        <v>11.78</v>
      </c>
      <c r="K265" s="2">
        <v>0</v>
      </c>
      <c r="L265" s="2">
        <v>3.7</v>
      </c>
      <c r="M265" s="2">
        <v>636613.23</v>
      </c>
      <c r="N265" s="2">
        <v>78908.350000000006</v>
      </c>
    </row>
    <row r="266" spans="1:14">
      <c r="A266" s="2" t="s">
        <v>88</v>
      </c>
      <c r="B266" s="3">
        <v>45658</v>
      </c>
      <c r="C266" s="2" t="s">
        <v>15</v>
      </c>
      <c r="D266" s="2" t="s">
        <v>18</v>
      </c>
      <c r="E266" s="2">
        <v>58981.91</v>
      </c>
      <c r="F266" s="2">
        <v>7324</v>
      </c>
      <c r="G266" s="2">
        <v>9.4E-2</v>
      </c>
      <c r="H266" s="2">
        <v>15</v>
      </c>
      <c r="I266" s="2">
        <v>95.8</v>
      </c>
      <c r="J266" s="2">
        <v>0.5</v>
      </c>
      <c r="K266" s="2">
        <v>0</v>
      </c>
      <c r="L266" s="2">
        <v>3.5</v>
      </c>
      <c r="M266" s="2">
        <v>708985.19</v>
      </c>
      <c r="N266" s="2">
        <v>125368.16</v>
      </c>
    </row>
    <row r="267" spans="1:14">
      <c r="A267" s="2" t="s">
        <v>88</v>
      </c>
      <c r="B267" s="3">
        <v>45689</v>
      </c>
      <c r="C267" s="2" t="s">
        <v>15</v>
      </c>
      <c r="D267" s="2" t="s">
        <v>18</v>
      </c>
      <c r="E267" s="2">
        <v>73454.539999999994</v>
      </c>
      <c r="F267" s="2">
        <v>8129</v>
      </c>
      <c r="G267" s="2">
        <v>0.21099999999999999</v>
      </c>
      <c r="H267" s="2">
        <v>20</v>
      </c>
      <c r="I267" s="2">
        <v>85.2</v>
      </c>
      <c r="J267" s="2">
        <v>0.88</v>
      </c>
      <c r="K267" s="2">
        <v>0</v>
      </c>
      <c r="L267" s="2">
        <v>3.7</v>
      </c>
      <c r="M267" s="2">
        <v>767792.94</v>
      </c>
      <c r="N267" s="2">
        <v>96235.77</v>
      </c>
    </row>
    <row r="268" spans="1:14">
      <c r="A268" s="2" t="s">
        <v>88</v>
      </c>
      <c r="B268" s="3">
        <v>45717</v>
      </c>
      <c r="C268" s="2" t="s">
        <v>15</v>
      </c>
      <c r="D268" s="2" t="s">
        <v>18</v>
      </c>
      <c r="E268" s="2">
        <v>56602.39</v>
      </c>
      <c r="F268" s="2">
        <v>7969</v>
      </c>
      <c r="G268" s="2">
        <v>0.17</v>
      </c>
      <c r="H268" s="2">
        <v>21</v>
      </c>
      <c r="I268" s="2">
        <v>88.3</v>
      </c>
      <c r="J268" s="2">
        <v>2.25</v>
      </c>
      <c r="K268" s="2">
        <v>0</v>
      </c>
      <c r="L268" s="2">
        <v>3.7</v>
      </c>
      <c r="M268" s="2">
        <v>745580.51</v>
      </c>
      <c r="N268" s="2">
        <v>116273.68</v>
      </c>
    </row>
    <row r="269" spans="1:14">
      <c r="A269" s="2" t="s">
        <v>88</v>
      </c>
      <c r="B269" s="3">
        <v>45748</v>
      </c>
      <c r="C269" s="2" t="s">
        <v>15</v>
      </c>
      <c r="D269" s="2" t="s">
        <v>18</v>
      </c>
      <c r="E269" s="2">
        <v>67722.289999999994</v>
      </c>
      <c r="F269" s="2">
        <v>7240</v>
      </c>
      <c r="G269" s="2">
        <v>2.5999999999999999E-2</v>
      </c>
      <c r="H269" s="2">
        <v>15</v>
      </c>
      <c r="I269" s="2">
        <v>92.9</v>
      </c>
      <c r="J269" s="2">
        <v>0.28999999999999998</v>
      </c>
      <c r="K269" s="2">
        <v>0</v>
      </c>
      <c r="L269" s="2">
        <v>3.5</v>
      </c>
      <c r="M269" s="2">
        <v>762328.31</v>
      </c>
      <c r="N269" s="2">
        <v>159158.19</v>
      </c>
    </row>
    <row r="270" spans="1:14">
      <c r="A270" s="2" t="s">
        <v>89</v>
      </c>
      <c r="B270" s="3">
        <v>45658</v>
      </c>
      <c r="C270" s="2" t="s">
        <v>15</v>
      </c>
      <c r="D270" s="2" t="s">
        <v>28</v>
      </c>
      <c r="E270" s="2">
        <v>48752.92</v>
      </c>
      <c r="F270" s="2">
        <v>8052</v>
      </c>
      <c r="G270" s="2">
        <v>0.106</v>
      </c>
      <c r="H270" s="2">
        <v>16</v>
      </c>
      <c r="I270" s="2">
        <v>94.9</v>
      </c>
      <c r="J270" s="2">
        <v>0.65</v>
      </c>
      <c r="K270" s="2">
        <v>0</v>
      </c>
      <c r="L270" s="2">
        <v>3.6</v>
      </c>
      <c r="M270" s="2">
        <v>660633.99</v>
      </c>
      <c r="N270" s="2">
        <v>118768.66</v>
      </c>
    </row>
    <row r="271" spans="1:14">
      <c r="A271" s="2" t="s">
        <v>89</v>
      </c>
      <c r="B271" s="3">
        <v>45689</v>
      </c>
      <c r="C271" s="2" t="s">
        <v>15</v>
      </c>
      <c r="D271" s="2" t="s">
        <v>28</v>
      </c>
      <c r="E271" s="2">
        <v>23914.97</v>
      </c>
      <c r="F271" s="2">
        <v>8018</v>
      </c>
      <c r="G271" s="2">
        <v>0.13900000000000001</v>
      </c>
      <c r="H271" s="2">
        <v>20</v>
      </c>
      <c r="I271" s="2">
        <v>89</v>
      </c>
      <c r="J271" s="2">
        <v>0.2</v>
      </c>
      <c r="K271" s="2">
        <v>0</v>
      </c>
      <c r="L271" s="2">
        <v>3.5</v>
      </c>
      <c r="M271" s="2">
        <v>739374.56</v>
      </c>
      <c r="N271" s="2">
        <v>121032.29</v>
      </c>
    </row>
    <row r="272" spans="1:14">
      <c r="A272" s="2" t="s">
        <v>89</v>
      </c>
      <c r="B272" s="3">
        <v>45717</v>
      </c>
      <c r="C272" s="2" t="s">
        <v>15</v>
      </c>
      <c r="D272" s="2" t="s">
        <v>28</v>
      </c>
      <c r="E272" s="2">
        <v>61995.3</v>
      </c>
      <c r="F272" s="2">
        <v>10192</v>
      </c>
      <c r="G272" s="2">
        <v>0.19800000000000001</v>
      </c>
      <c r="H272" s="2">
        <v>21</v>
      </c>
      <c r="I272" s="2">
        <v>87.6</v>
      </c>
      <c r="J272" s="2">
        <v>3.63</v>
      </c>
      <c r="K272" s="2">
        <v>1</v>
      </c>
      <c r="L272" s="2">
        <v>3.8</v>
      </c>
      <c r="M272" s="2">
        <v>799756.46</v>
      </c>
      <c r="N272" s="2">
        <v>105052.93</v>
      </c>
    </row>
    <row r="273" spans="1:14">
      <c r="A273" s="2" t="s">
        <v>89</v>
      </c>
      <c r="B273" s="3">
        <v>45748</v>
      </c>
      <c r="C273" s="2" t="s">
        <v>15</v>
      </c>
      <c r="D273" s="2" t="s">
        <v>28</v>
      </c>
      <c r="E273" s="2">
        <v>29344.93</v>
      </c>
      <c r="F273" s="2">
        <v>7446</v>
      </c>
      <c r="G273" s="2">
        <v>0.111</v>
      </c>
      <c r="H273" s="2">
        <v>15</v>
      </c>
      <c r="I273" s="2">
        <v>86.2</v>
      </c>
      <c r="J273" s="2">
        <v>0.2</v>
      </c>
      <c r="K273" s="2">
        <v>0</v>
      </c>
      <c r="L273" s="2">
        <v>3.2</v>
      </c>
      <c r="M273" s="2">
        <v>593343</v>
      </c>
      <c r="N273" s="2">
        <v>82832.240000000005</v>
      </c>
    </row>
    <row r="274" spans="1:14">
      <c r="A274" s="2" t="s">
        <v>90</v>
      </c>
      <c r="B274" s="3">
        <v>45658</v>
      </c>
      <c r="C274" s="2" t="s">
        <v>27</v>
      </c>
      <c r="D274" s="2" t="s">
        <v>18</v>
      </c>
      <c r="E274" s="2">
        <v>50532.17</v>
      </c>
      <c r="F274" s="2">
        <v>5689</v>
      </c>
      <c r="G274" s="2">
        <v>5.1999999999999998E-2</v>
      </c>
      <c r="H274" s="2">
        <v>17</v>
      </c>
      <c r="I274" s="2">
        <v>85.6</v>
      </c>
      <c r="J274" s="2">
        <v>6.23</v>
      </c>
      <c r="K274" s="2">
        <v>0</v>
      </c>
      <c r="L274" s="2">
        <v>3.3</v>
      </c>
      <c r="M274" s="2">
        <v>645039.97</v>
      </c>
      <c r="N274" s="2">
        <v>83093.33</v>
      </c>
    </row>
    <row r="275" spans="1:14">
      <c r="A275" s="2" t="s">
        <v>90</v>
      </c>
      <c r="B275" s="3">
        <v>45689</v>
      </c>
      <c r="C275" s="2" t="s">
        <v>27</v>
      </c>
      <c r="D275" s="2" t="s">
        <v>18</v>
      </c>
      <c r="E275" s="2">
        <v>17562.57</v>
      </c>
      <c r="F275" s="2">
        <v>3326</v>
      </c>
      <c r="G275" s="2">
        <v>0.153</v>
      </c>
      <c r="H275" s="2">
        <v>14</v>
      </c>
      <c r="I275" s="2">
        <v>88.1</v>
      </c>
      <c r="J275" s="2">
        <v>1.04</v>
      </c>
      <c r="K275" s="2">
        <v>0</v>
      </c>
      <c r="L275" s="2">
        <v>3.1</v>
      </c>
      <c r="M275" s="2">
        <v>561597.32999999996</v>
      </c>
      <c r="N275" s="2">
        <v>75072.75</v>
      </c>
    </row>
    <row r="276" spans="1:14">
      <c r="A276" s="2" t="s">
        <v>90</v>
      </c>
      <c r="B276" s="3">
        <v>45717</v>
      </c>
      <c r="C276" s="2" t="s">
        <v>27</v>
      </c>
      <c r="D276" s="2" t="s">
        <v>18</v>
      </c>
      <c r="E276" s="2">
        <v>47648.71</v>
      </c>
      <c r="F276" s="2">
        <v>5767</v>
      </c>
      <c r="G276" s="2">
        <v>0.14099999999999999</v>
      </c>
      <c r="H276" s="2">
        <v>17</v>
      </c>
      <c r="I276" s="2">
        <v>89.8</v>
      </c>
      <c r="J276" s="2">
        <v>1.76</v>
      </c>
      <c r="K276" s="2">
        <v>0</v>
      </c>
      <c r="L276" s="2">
        <v>3.1</v>
      </c>
      <c r="M276" s="2">
        <v>635837.74</v>
      </c>
      <c r="N276" s="2">
        <v>114740.64</v>
      </c>
    </row>
    <row r="277" spans="1:14">
      <c r="A277" s="2" t="s">
        <v>90</v>
      </c>
      <c r="B277" s="3">
        <v>45748</v>
      </c>
      <c r="C277" s="2" t="s">
        <v>27</v>
      </c>
      <c r="D277" s="2" t="s">
        <v>18</v>
      </c>
      <c r="E277" s="2">
        <v>38297.58</v>
      </c>
      <c r="F277" s="2">
        <v>5893</v>
      </c>
      <c r="G277" s="2">
        <v>0.247</v>
      </c>
      <c r="H277" s="2">
        <v>18</v>
      </c>
      <c r="I277" s="2">
        <v>77.599999999999994</v>
      </c>
      <c r="J277" s="2">
        <v>2.86</v>
      </c>
      <c r="K277" s="2">
        <v>0</v>
      </c>
      <c r="L277" s="2">
        <v>3</v>
      </c>
      <c r="M277" s="2">
        <v>686737.87</v>
      </c>
      <c r="N277" s="2">
        <v>83839.67</v>
      </c>
    </row>
    <row r="278" spans="1:14">
      <c r="A278" s="2" t="s">
        <v>91</v>
      </c>
      <c r="B278" s="3">
        <v>45658</v>
      </c>
      <c r="C278" s="2" t="s">
        <v>24</v>
      </c>
      <c r="D278" s="2" t="s">
        <v>16</v>
      </c>
      <c r="E278" s="2">
        <v>61784.11</v>
      </c>
      <c r="F278" s="2">
        <v>8564</v>
      </c>
      <c r="G278" s="2">
        <v>0.13</v>
      </c>
      <c r="H278" s="2">
        <v>17</v>
      </c>
      <c r="I278" s="2">
        <v>87.4</v>
      </c>
      <c r="J278" s="2">
        <v>18.14</v>
      </c>
      <c r="K278" s="2">
        <v>1</v>
      </c>
      <c r="L278" s="2">
        <v>3.4</v>
      </c>
      <c r="M278" s="2">
        <v>673076.34</v>
      </c>
      <c r="N278" s="2">
        <v>93899.76</v>
      </c>
    </row>
    <row r="279" spans="1:14">
      <c r="A279" s="2" t="s">
        <v>91</v>
      </c>
      <c r="B279" s="3">
        <v>45689</v>
      </c>
      <c r="C279" s="2" t="s">
        <v>24</v>
      </c>
      <c r="D279" s="2" t="s">
        <v>16</v>
      </c>
      <c r="E279" s="2">
        <v>36832.33</v>
      </c>
      <c r="F279" s="2">
        <v>8001</v>
      </c>
      <c r="G279" s="2">
        <v>0</v>
      </c>
      <c r="H279" s="2">
        <v>19</v>
      </c>
      <c r="I279" s="2">
        <v>88.7</v>
      </c>
      <c r="J279" s="2">
        <v>3.39</v>
      </c>
      <c r="K279" s="2">
        <v>0</v>
      </c>
      <c r="L279" s="2">
        <v>4</v>
      </c>
      <c r="M279" s="2">
        <v>738548.42</v>
      </c>
      <c r="N279" s="2">
        <v>134282.76999999999</v>
      </c>
    </row>
    <row r="280" spans="1:14">
      <c r="A280" s="2" t="s">
        <v>91</v>
      </c>
      <c r="B280" s="3">
        <v>45717</v>
      </c>
      <c r="C280" s="2" t="s">
        <v>24</v>
      </c>
      <c r="D280" s="2" t="s">
        <v>16</v>
      </c>
      <c r="E280" s="2">
        <v>48609.41</v>
      </c>
      <c r="F280" s="2">
        <v>9324</v>
      </c>
      <c r="G280" s="2">
        <v>0.21299999999999999</v>
      </c>
      <c r="H280" s="2">
        <v>18</v>
      </c>
      <c r="I280" s="2">
        <v>86.5</v>
      </c>
      <c r="J280" s="2">
        <v>1.44</v>
      </c>
      <c r="K280" s="2">
        <v>0</v>
      </c>
      <c r="L280" s="2">
        <v>3.9</v>
      </c>
      <c r="M280" s="2">
        <v>756619.77</v>
      </c>
      <c r="N280" s="2">
        <v>112057.69</v>
      </c>
    </row>
    <row r="281" spans="1:14">
      <c r="A281" s="2" t="s">
        <v>91</v>
      </c>
      <c r="B281" s="3">
        <v>45748</v>
      </c>
      <c r="C281" s="2" t="s">
        <v>24</v>
      </c>
      <c r="D281" s="2" t="s">
        <v>16</v>
      </c>
      <c r="E281" s="2">
        <v>70284.06</v>
      </c>
      <c r="F281" s="2">
        <v>9109</v>
      </c>
      <c r="G281" s="2">
        <v>4.0000000000000001E-3</v>
      </c>
      <c r="H281" s="2">
        <v>23</v>
      </c>
      <c r="I281" s="2">
        <v>87</v>
      </c>
      <c r="J281" s="2">
        <v>3.65</v>
      </c>
      <c r="K281" s="2">
        <v>0</v>
      </c>
      <c r="L281" s="2">
        <v>3.7</v>
      </c>
      <c r="M281" s="2">
        <v>761122.42</v>
      </c>
      <c r="N281" s="2">
        <v>149802.04</v>
      </c>
    </row>
    <row r="282" spans="1:14">
      <c r="A282" s="2" t="s">
        <v>92</v>
      </c>
      <c r="B282" s="3">
        <v>45658</v>
      </c>
      <c r="C282" s="2" t="s">
        <v>24</v>
      </c>
      <c r="D282" s="2" t="s">
        <v>18</v>
      </c>
      <c r="E282" s="2">
        <v>45940.39</v>
      </c>
      <c r="F282" s="2">
        <v>4022</v>
      </c>
      <c r="G282" s="2">
        <v>6.9000000000000006E-2</v>
      </c>
      <c r="H282" s="2">
        <v>10</v>
      </c>
      <c r="I282" s="2">
        <v>83</v>
      </c>
      <c r="J282" s="2">
        <v>1.23</v>
      </c>
      <c r="K282" s="2">
        <v>1</v>
      </c>
      <c r="L282" s="2">
        <v>3.8</v>
      </c>
      <c r="M282" s="2">
        <v>524899.56999999995</v>
      </c>
      <c r="N282" s="2">
        <v>63619.98</v>
      </c>
    </row>
    <row r="283" spans="1:14">
      <c r="A283" s="2" t="s">
        <v>92</v>
      </c>
      <c r="B283" s="3">
        <v>45689</v>
      </c>
      <c r="C283" s="2" t="s">
        <v>24</v>
      </c>
      <c r="D283" s="2" t="s">
        <v>18</v>
      </c>
      <c r="E283" s="2">
        <v>34771.26</v>
      </c>
      <c r="F283" s="2">
        <v>4355</v>
      </c>
      <c r="G283" s="2">
        <v>5.0999999999999997E-2</v>
      </c>
      <c r="H283" s="2">
        <v>15</v>
      </c>
      <c r="I283" s="2">
        <v>87.9</v>
      </c>
      <c r="J283" s="2">
        <v>3.09</v>
      </c>
      <c r="K283" s="2">
        <v>0</v>
      </c>
      <c r="L283" s="2">
        <v>4</v>
      </c>
      <c r="M283" s="2">
        <v>555557.77</v>
      </c>
      <c r="N283" s="2">
        <v>86475.51</v>
      </c>
    </row>
    <row r="284" spans="1:14">
      <c r="A284" s="2" t="s">
        <v>92</v>
      </c>
      <c r="B284" s="3">
        <v>45717</v>
      </c>
      <c r="C284" s="2" t="s">
        <v>24</v>
      </c>
      <c r="D284" s="2" t="s">
        <v>18</v>
      </c>
      <c r="E284" s="2">
        <v>66104.19</v>
      </c>
      <c r="F284" s="2">
        <v>5745</v>
      </c>
      <c r="G284" s="2">
        <v>7.0000000000000007E-2</v>
      </c>
      <c r="H284" s="2">
        <v>17</v>
      </c>
      <c r="I284" s="2">
        <v>95.8</v>
      </c>
      <c r="J284" s="2">
        <v>3.15</v>
      </c>
      <c r="K284" s="2">
        <v>0</v>
      </c>
      <c r="L284" s="2">
        <v>4</v>
      </c>
      <c r="M284" s="2">
        <v>714083.68</v>
      </c>
      <c r="N284" s="2">
        <v>127231.74</v>
      </c>
    </row>
    <row r="285" spans="1:14">
      <c r="A285" s="2" t="s">
        <v>92</v>
      </c>
      <c r="B285" s="3">
        <v>45748</v>
      </c>
      <c r="C285" s="2" t="s">
        <v>24</v>
      </c>
      <c r="D285" s="2" t="s">
        <v>18</v>
      </c>
      <c r="E285" s="2">
        <v>18599.21</v>
      </c>
      <c r="F285" s="2">
        <v>3027</v>
      </c>
      <c r="G285" s="2">
        <v>0.122</v>
      </c>
      <c r="H285" s="2">
        <v>11</v>
      </c>
      <c r="I285" s="2">
        <v>80.900000000000006</v>
      </c>
      <c r="J285" s="2">
        <v>6.44</v>
      </c>
      <c r="K285" s="2">
        <v>0</v>
      </c>
      <c r="L285" s="2">
        <v>4.2</v>
      </c>
      <c r="M285" s="2">
        <v>497439.82</v>
      </c>
      <c r="N285" s="2">
        <v>93372.75</v>
      </c>
    </row>
    <row r="286" spans="1:14">
      <c r="A286" s="2" t="s">
        <v>93</v>
      </c>
      <c r="B286" s="3">
        <v>45658</v>
      </c>
      <c r="C286" s="2" t="s">
        <v>27</v>
      </c>
      <c r="D286" s="2" t="s">
        <v>16</v>
      </c>
      <c r="E286" s="2">
        <v>60183.06</v>
      </c>
      <c r="F286" s="2">
        <v>5562</v>
      </c>
      <c r="G286" s="2">
        <v>8.9999999999999993E-3</v>
      </c>
      <c r="H286" s="2">
        <v>13</v>
      </c>
      <c r="I286" s="2">
        <v>86.3</v>
      </c>
      <c r="J286" s="2">
        <v>0.2</v>
      </c>
      <c r="K286" s="2">
        <v>1</v>
      </c>
      <c r="L286" s="2">
        <v>4.5</v>
      </c>
      <c r="M286" s="2">
        <v>636775.66</v>
      </c>
      <c r="N286" s="2">
        <v>122636.86</v>
      </c>
    </row>
    <row r="287" spans="1:14">
      <c r="A287" s="2" t="s">
        <v>93</v>
      </c>
      <c r="B287" s="3">
        <v>45689</v>
      </c>
      <c r="C287" s="2" t="s">
        <v>27</v>
      </c>
      <c r="D287" s="2" t="s">
        <v>16</v>
      </c>
      <c r="E287" s="2">
        <v>74539.14</v>
      </c>
      <c r="F287" s="2">
        <v>4487</v>
      </c>
      <c r="G287" s="2">
        <v>0.14000000000000001</v>
      </c>
      <c r="H287" s="2">
        <v>10</v>
      </c>
      <c r="I287" s="2">
        <v>90.4</v>
      </c>
      <c r="J287" s="2">
        <v>0.59</v>
      </c>
      <c r="K287" s="2">
        <v>0</v>
      </c>
      <c r="L287" s="2">
        <v>4.5</v>
      </c>
      <c r="M287" s="2">
        <v>633009.53</v>
      </c>
      <c r="N287" s="2">
        <v>123782.67</v>
      </c>
    </row>
    <row r="288" spans="1:14">
      <c r="A288" s="2" t="s">
        <v>93</v>
      </c>
      <c r="B288" s="3">
        <v>45717</v>
      </c>
      <c r="C288" s="2" t="s">
        <v>27</v>
      </c>
      <c r="D288" s="2" t="s">
        <v>16</v>
      </c>
      <c r="E288" s="2">
        <v>55371.97</v>
      </c>
      <c r="F288" s="2">
        <v>4162</v>
      </c>
      <c r="G288" s="2">
        <v>0.183</v>
      </c>
      <c r="H288" s="2">
        <v>11</v>
      </c>
      <c r="I288" s="2">
        <v>92</v>
      </c>
      <c r="J288" s="2">
        <v>0.2</v>
      </c>
      <c r="K288" s="2">
        <v>1</v>
      </c>
      <c r="L288" s="2">
        <v>4.2</v>
      </c>
      <c r="M288" s="2">
        <v>609949</v>
      </c>
      <c r="N288" s="2">
        <v>126789.25</v>
      </c>
    </row>
    <row r="289" spans="1:14">
      <c r="A289" s="2" t="s">
        <v>93</v>
      </c>
      <c r="B289" s="3">
        <v>45748</v>
      </c>
      <c r="C289" s="2" t="s">
        <v>27</v>
      </c>
      <c r="D289" s="2" t="s">
        <v>16</v>
      </c>
      <c r="E289" s="2">
        <v>40928.69</v>
      </c>
      <c r="F289" s="2">
        <v>4094</v>
      </c>
      <c r="G289" s="2">
        <v>0.17399999999999999</v>
      </c>
      <c r="H289" s="2">
        <v>13</v>
      </c>
      <c r="I289" s="2">
        <v>82.4</v>
      </c>
      <c r="J289" s="2">
        <v>1.36</v>
      </c>
      <c r="K289" s="2">
        <v>0</v>
      </c>
      <c r="L289" s="2">
        <v>4.8</v>
      </c>
      <c r="M289" s="2">
        <v>548103.69999999995</v>
      </c>
      <c r="N289" s="2">
        <v>99905.52</v>
      </c>
    </row>
    <row r="290" spans="1:14">
      <c r="A290" s="2" t="s">
        <v>94</v>
      </c>
      <c r="B290" s="3">
        <v>45658</v>
      </c>
      <c r="C290" s="2" t="s">
        <v>15</v>
      </c>
      <c r="D290" s="2" t="s">
        <v>16</v>
      </c>
      <c r="E290" s="2">
        <v>70012.41</v>
      </c>
      <c r="F290" s="2">
        <v>8484</v>
      </c>
      <c r="G290" s="2">
        <v>0.27300000000000002</v>
      </c>
      <c r="H290" s="2">
        <v>23</v>
      </c>
      <c r="I290" s="2">
        <v>72.900000000000006</v>
      </c>
      <c r="J290" s="2">
        <v>3.34</v>
      </c>
      <c r="K290" s="2">
        <v>0</v>
      </c>
      <c r="L290" s="2">
        <v>3.7</v>
      </c>
      <c r="M290" s="2">
        <v>729424.42</v>
      </c>
      <c r="N290" s="2">
        <v>75592.28</v>
      </c>
    </row>
    <row r="291" spans="1:14">
      <c r="A291" s="2" t="s">
        <v>94</v>
      </c>
      <c r="B291" s="3">
        <v>45689</v>
      </c>
      <c r="C291" s="2" t="s">
        <v>15</v>
      </c>
      <c r="D291" s="2" t="s">
        <v>16</v>
      </c>
      <c r="E291" s="2">
        <v>68909.259999999995</v>
      </c>
      <c r="F291" s="2">
        <v>7794</v>
      </c>
      <c r="G291" s="2">
        <v>0.28399999999999997</v>
      </c>
      <c r="H291" s="2">
        <v>22</v>
      </c>
      <c r="I291" s="2">
        <v>89</v>
      </c>
      <c r="J291" s="2">
        <v>0.33</v>
      </c>
      <c r="K291" s="2">
        <v>0</v>
      </c>
      <c r="L291" s="2">
        <v>4</v>
      </c>
      <c r="M291" s="2">
        <v>696261.49</v>
      </c>
      <c r="N291" s="2">
        <v>72455.350000000006</v>
      </c>
    </row>
    <row r="292" spans="1:14">
      <c r="A292" s="2" t="s">
        <v>94</v>
      </c>
      <c r="B292" s="3">
        <v>45717</v>
      </c>
      <c r="C292" s="2" t="s">
        <v>15</v>
      </c>
      <c r="D292" s="2" t="s">
        <v>16</v>
      </c>
      <c r="E292" s="2">
        <v>56737.3</v>
      </c>
      <c r="F292" s="2">
        <v>8300</v>
      </c>
      <c r="G292" s="2">
        <v>3.2000000000000001E-2</v>
      </c>
      <c r="H292" s="2">
        <v>21</v>
      </c>
      <c r="I292" s="2">
        <v>83.2</v>
      </c>
      <c r="J292" s="2">
        <v>3.44</v>
      </c>
      <c r="K292" s="2">
        <v>1</v>
      </c>
      <c r="L292" s="2">
        <v>4.3</v>
      </c>
      <c r="M292" s="2">
        <v>813316.71</v>
      </c>
      <c r="N292" s="2">
        <v>110077.42</v>
      </c>
    </row>
    <row r="293" spans="1:14">
      <c r="A293" s="2" t="s">
        <v>94</v>
      </c>
      <c r="B293" s="3">
        <v>45748</v>
      </c>
      <c r="C293" s="2" t="s">
        <v>15</v>
      </c>
      <c r="D293" s="2" t="s">
        <v>16</v>
      </c>
      <c r="E293" s="2">
        <v>54080.91</v>
      </c>
      <c r="F293" s="2">
        <v>7083</v>
      </c>
      <c r="G293" s="2">
        <v>0</v>
      </c>
      <c r="H293" s="2">
        <v>15</v>
      </c>
      <c r="I293" s="2">
        <v>97</v>
      </c>
      <c r="J293" s="2">
        <v>5.33</v>
      </c>
      <c r="K293" s="2">
        <v>0</v>
      </c>
      <c r="L293" s="2">
        <v>4.0999999999999996</v>
      </c>
      <c r="M293" s="2">
        <v>702068.92</v>
      </c>
      <c r="N293" s="2">
        <v>111266.63</v>
      </c>
    </row>
    <row r="294" spans="1:14">
      <c r="A294" s="2" t="s">
        <v>95</v>
      </c>
      <c r="B294" s="3">
        <v>45658</v>
      </c>
      <c r="C294" s="2" t="s">
        <v>27</v>
      </c>
      <c r="D294" s="2" t="s">
        <v>18</v>
      </c>
      <c r="E294" s="2">
        <v>51996.32</v>
      </c>
      <c r="F294" s="2">
        <v>3834</v>
      </c>
      <c r="G294" s="2">
        <v>9.6000000000000002E-2</v>
      </c>
      <c r="H294" s="2">
        <v>8</v>
      </c>
      <c r="I294" s="2">
        <v>86.7</v>
      </c>
      <c r="J294" s="2">
        <v>6.04</v>
      </c>
      <c r="K294" s="2">
        <v>0</v>
      </c>
      <c r="L294" s="2">
        <v>4.5</v>
      </c>
      <c r="M294" s="2">
        <v>546223.69999999995</v>
      </c>
      <c r="N294" s="2">
        <v>100769.17</v>
      </c>
    </row>
    <row r="295" spans="1:14">
      <c r="A295" s="2" t="s">
        <v>95</v>
      </c>
      <c r="B295" s="3">
        <v>45689</v>
      </c>
      <c r="C295" s="2" t="s">
        <v>27</v>
      </c>
      <c r="D295" s="2" t="s">
        <v>18</v>
      </c>
      <c r="E295" s="2">
        <v>40102.879999999997</v>
      </c>
      <c r="F295" s="2">
        <v>2358</v>
      </c>
      <c r="G295" s="2">
        <v>0.11899999999999999</v>
      </c>
      <c r="H295" s="2">
        <v>9</v>
      </c>
      <c r="I295" s="2">
        <v>88.7</v>
      </c>
      <c r="J295" s="2">
        <v>1.6</v>
      </c>
      <c r="K295" s="2">
        <v>0</v>
      </c>
      <c r="L295" s="2">
        <v>4.2</v>
      </c>
      <c r="M295" s="2">
        <v>533121.26</v>
      </c>
      <c r="N295" s="2">
        <v>55063.39</v>
      </c>
    </row>
    <row r="296" spans="1:14">
      <c r="A296" s="2" t="s">
        <v>95</v>
      </c>
      <c r="B296" s="3">
        <v>45717</v>
      </c>
      <c r="C296" s="2" t="s">
        <v>27</v>
      </c>
      <c r="D296" s="2" t="s">
        <v>18</v>
      </c>
      <c r="E296" s="2">
        <v>59825.51</v>
      </c>
      <c r="F296" s="2">
        <v>1231</v>
      </c>
      <c r="G296" s="2">
        <v>0.214</v>
      </c>
      <c r="H296" s="2">
        <v>10</v>
      </c>
      <c r="I296" s="2">
        <v>84.8</v>
      </c>
      <c r="J296" s="2">
        <v>8.9600000000000009</v>
      </c>
      <c r="K296" s="2">
        <v>0</v>
      </c>
      <c r="L296" s="2">
        <v>4.7</v>
      </c>
      <c r="M296" s="2">
        <v>498970.32</v>
      </c>
      <c r="N296" s="2">
        <v>69656.7</v>
      </c>
    </row>
    <row r="297" spans="1:14">
      <c r="A297" s="2" t="s">
        <v>95</v>
      </c>
      <c r="B297" s="3">
        <v>45748</v>
      </c>
      <c r="C297" s="2" t="s">
        <v>27</v>
      </c>
      <c r="D297" s="2" t="s">
        <v>18</v>
      </c>
      <c r="E297" s="2">
        <v>27398.28</v>
      </c>
      <c r="F297" s="2">
        <v>1723</v>
      </c>
      <c r="G297" s="2">
        <v>0.17100000000000001</v>
      </c>
      <c r="H297" s="2">
        <v>9</v>
      </c>
      <c r="I297" s="2">
        <v>81</v>
      </c>
      <c r="J297" s="2">
        <v>0.74</v>
      </c>
      <c r="K297" s="2">
        <v>0</v>
      </c>
      <c r="L297" s="2">
        <v>4.5999999999999996</v>
      </c>
      <c r="M297" s="2">
        <v>487738.26</v>
      </c>
      <c r="N297" s="2">
        <v>96435.6</v>
      </c>
    </row>
    <row r="298" spans="1:14">
      <c r="A298" s="2" t="s">
        <v>96</v>
      </c>
      <c r="B298" s="3">
        <v>45658</v>
      </c>
      <c r="C298" s="2" t="s">
        <v>27</v>
      </c>
      <c r="D298" s="2" t="s">
        <v>18</v>
      </c>
      <c r="E298" s="2">
        <v>55599.56</v>
      </c>
      <c r="F298" s="2">
        <v>5896</v>
      </c>
      <c r="G298" s="2">
        <v>3.5999999999999997E-2</v>
      </c>
      <c r="H298" s="2">
        <v>12</v>
      </c>
      <c r="I298" s="2">
        <v>93.1</v>
      </c>
      <c r="J298" s="2">
        <v>6.13</v>
      </c>
      <c r="K298" s="2">
        <v>0</v>
      </c>
      <c r="L298" s="2">
        <v>3.3</v>
      </c>
      <c r="M298" s="2">
        <v>668459.37</v>
      </c>
      <c r="N298" s="2">
        <v>126435.42</v>
      </c>
    </row>
    <row r="299" spans="1:14">
      <c r="A299" s="2" t="s">
        <v>96</v>
      </c>
      <c r="B299" s="3">
        <v>45689</v>
      </c>
      <c r="C299" s="2" t="s">
        <v>27</v>
      </c>
      <c r="D299" s="2" t="s">
        <v>18</v>
      </c>
      <c r="E299" s="2">
        <v>55477.61</v>
      </c>
      <c r="F299" s="2">
        <v>5903</v>
      </c>
      <c r="G299" s="2">
        <v>0.10199999999999999</v>
      </c>
      <c r="H299" s="2">
        <v>14</v>
      </c>
      <c r="I299" s="2">
        <v>96.2</v>
      </c>
      <c r="J299" s="2">
        <v>1.41</v>
      </c>
      <c r="K299" s="2">
        <v>0</v>
      </c>
      <c r="L299" s="2">
        <v>3.3</v>
      </c>
      <c r="M299" s="2">
        <v>763162.45</v>
      </c>
      <c r="N299" s="2">
        <v>162524.04999999999</v>
      </c>
    </row>
    <row r="300" spans="1:14">
      <c r="A300" s="2" t="s">
        <v>96</v>
      </c>
      <c r="B300" s="3">
        <v>45717</v>
      </c>
      <c r="C300" s="2" t="s">
        <v>27</v>
      </c>
      <c r="D300" s="2" t="s">
        <v>18</v>
      </c>
      <c r="E300" s="2">
        <v>46174.7</v>
      </c>
      <c r="F300" s="2">
        <v>4898</v>
      </c>
      <c r="G300" s="2">
        <v>0.114</v>
      </c>
      <c r="H300" s="2">
        <v>11</v>
      </c>
      <c r="I300" s="2">
        <v>91.7</v>
      </c>
      <c r="J300" s="2">
        <v>3.75</v>
      </c>
      <c r="K300" s="2">
        <v>0</v>
      </c>
      <c r="L300" s="2">
        <v>3.1</v>
      </c>
      <c r="M300" s="2">
        <v>599017.32999999996</v>
      </c>
      <c r="N300" s="2">
        <v>134009.92000000001</v>
      </c>
    </row>
    <row r="301" spans="1:14">
      <c r="A301" s="2" t="s">
        <v>96</v>
      </c>
      <c r="B301" s="3">
        <v>45748</v>
      </c>
      <c r="C301" s="2" t="s">
        <v>27</v>
      </c>
      <c r="D301" s="2" t="s">
        <v>18</v>
      </c>
      <c r="E301" s="2">
        <v>24362.98</v>
      </c>
      <c r="F301" s="2">
        <v>1462</v>
      </c>
      <c r="G301" s="2">
        <v>0.11700000000000001</v>
      </c>
      <c r="H301" s="2">
        <v>6</v>
      </c>
      <c r="I301" s="2">
        <v>89.3</v>
      </c>
      <c r="J301" s="2">
        <v>15.06</v>
      </c>
      <c r="K301" s="2">
        <v>0</v>
      </c>
      <c r="L301" s="2">
        <v>3.2</v>
      </c>
      <c r="M301" s="2">
        <v>401582.58</v>
      </c>
      <c r="N301" s="2">
        <v>68454.929999999993</v>
      </c>
    </row>
    <row r="302" spans="1:14">
      <c r="A302" s="2" t="s">
        <v>97</v>
      </c>
      <c r="B302" s="3">
        <v>45658</v>
      </c>
      <c r="C302" s="2" t="s">
        <v>20</v>
      </c>
      <c r="D302" s="2" t="s">
        <v>28</v>
      </c>
      <c r="E302" s="2">
        <v>40647.67</v>
      </c>
      <c r="F302" s="2">
        <v>8252</v>
      </c>
      <c r="G302" s="2">
        <v>0.14099999999999999</v>
      </c>
      <c r="H302" s="2">
        <v>22</v>
      </c>
      <c r="I302" s="2">
        <v>88.2</v>
      </c>
      <c r="J302" s="2">
        <v>5.07</v>
      </c>
      <c r="K302" s="2">
        <v>1</v>
      </c>
      <c r="L302" s="2">
        <v>4.0999999999999996</v>
      </c>
      <c r="M302" s="2">
        <v>703812.99</v>
      </c>
      <c r="N302" s="2">
        <v>133577.98000000001</v>
      </c>
    </row>
    <row r="303" spans="1:14">
      <c r="A303" s="2" t="s">
        <v>97</v>
      </c>
      <c r="B303" s="3">
        <v>45689</v>
      </c>
      <c r="C303" s="2" t="s">
        <v>20</v>
      </c>
      <c r="D303" s="2" t="s">
        <v>28</v>
      </c>
      <c r="E303" s="2">
        <v>63986.98</v>
      </c>
      <c r="F303" s="2">
        <v>7989</v>
      </c>
      <c r="G303" s="2">
        <v>7.3999999999999996E-2</v>
      </c>
      <c r="H303" s="2">
        <v>20</v>
      </c>
      <c r="I303" s="2">
        <v>83.3</v>
      </c>
      <c r="J303" s="2">
        <v>3.6</v>
      </c>
      <c r="K303" s="2">
        <v>0</v>
      </c>
      <c r="L303" s="2">
        <v>3.7</v>
      </c>
      <c r="M303" s="2">
        <v>724346.73</v>
      </c>
      <c r="N303" s="2">
        <v>155013.91</v>
      </c>
    </row>
    <row r="304" spans="1:14">
      <c r="A304" s="2" t="s">
        <v>97</v>
      </c>
      <c r="B304" s="3">
        <v>45717</v>
      </c>
      <c r="C304" s="2" t="s">
        <v>20</v>
      </c>
      <c r="D304" s="2" t="s">
        <v>28</v>
      </c>
      <c r="E304" s="2">
        <v>52843.75</v>
      </c>
      <c r="F304" s="2">
        <v>8268</v>
      </c>
      <c r="G304" s="2">
        <v>0.13800000000000001</v>
      </c>
      <c r="H304" s="2">
        <v>19</v>
      </c>
      <c r="I304" s="2">
        <v>87.3</v>
      </c>
      <c r="J304" s="2">
        <v>4.3899999999999997</v>
      </c>
      <c r="K304" s="2">
        <v>1</v>
      </c>
      <c r="L304" s="2">
        <v>4.7</v>
      </c>
      <c r="M304" s="2">
        <v>730890.01</v>
      </c>
      <c r="N304" s="2">
        <v>105502.56</v>
      </c>
    </row>
    <row r="305" spans="1:14">
      <c r="A305" s="2" t="s">
        <v>97</v>
      </c>
      <c r="B305" s="3">
        <v>45748</v>
      </c>
      <c r="C305" s="2" t="s">
        <v>20</v>
      </c>
      <c r="D305" s="2" t="s">
        <v>28</v>
      </c>
      <c r="E305" s="2">
        <v>31997.25</v>
      </c>
      <c r="F305" s="2">
        <v>8183</v>
      </c>
      <c r="G305" s="2">
        <v>0.19800000000000001</v>
      </c>
      <c r="H305" s="2">
        <v>18</v>
      </c>
      <c r="I305" s="2">
        <v>93</v>
      </c>
      <c r="J305" s="2">
        <v>2.79</v>
      </c>
      <c r="K305" s="2">
        <v>0</v>
      </c>
      <c r="L305" s="2">
        <v>4.2</v>
      </c>
      <c r="M305" s="2">
        <v>780580.95</v>
      </c>
      <c r="N305" s="2">
        <v>138144.46</v>
      </c>
    </row>
    <row r="306" spans="1:14">
      <c r="A306" s="2" t="s">
        <v>98</v>
      </c>
      <c r="B306" s="3">
        <v>45658</v>
      </c>
      <c r="C306" s="2" t="s">
        <v>24</v>
      </c>
      <c r="D306" s="2" t="s">
        <v>16</v>
      </c>
      <c r="E306" s="2">
        <v>54948.02</v>
      </c>
      <c r="F306" s="2">
        <v>6534</v>
      </c>
      <c r="G306" s="2">
        <v>0.183</v>
      </c>
      <c r="H306" s="2">
        <v>14</v>
      </c>
      <c r="I306" s="2">
        <v>94.5</v>
      </c>
      <c r="J306" s="2">
        <v>1.56</v>
      </c>
      <c r="K306" s="2">
        <v>0</v>
      </c>
      <c r="L306" s="2">
        <v>4</v>
      </c>
      <c r="M306" s="2">
        <v>727957.48</v>
      </c>
      <c r="N306" s="2">
        <v>74805.23</v>
      </c>
    </row>
    <row r="307" spans="1:14">
      <c r="A307" s="2" t="s">
        <v>98</v>
      </c>
      <c r="B307" s="3">
        <v>45689</v>
      </c>
      <c r="C307" s="2" t="s">
        <v>24</v>
      </c>
      <c r="D307" s="2" t="s">
        <v>16</v>
      </c>
      <c r="E307" s="2">
        <v>46146.239999999998</v>
      </c>
      <c r="F307" s="2">
        <v>5804</v>
      </c>
      <c r="G307" s="2">
        <v>4.7E-2</v>
      </c>
      <c r="H307" s="2">
        <v>16</v>
      </c>
      <c r="I307" s="2">
        <v>86.9</v>
      </c>
      <c r="J307" s="2">
        <v>15.82</v>
      </c>
      <c r="K307" s="2">
        <v>0</v>
      </c>
      <c r="L307" s="2">
        <v>3.8</v>
      </c>
      <c r="M307" s="2">
        <v>538376</v>
      </c>
      <c r="N307" s="2">
        <v>87605.62</v>
      </c>
    </row>
    <row r="308" spans="1:14">
      <c r="A308" s="2" t="s">
        <v>98</v>
      </c>
      <c r="B308" s="3">
        <v>45717</v>
      </c>
      <c r="C308" s="2" t="s">
        <v>24</v>
      </c>
      <c r="D308" s="2" t="s">
        <v>16</v>
      </c>
      <c r="E308" s="2">
        <v>22387.26</v>
      </c>
      <c r="F308" s="2">
        <v>6301</v>
      </c>
      <c r="G308" s="2">
        <v>0.14599999999999999</v>
      </c>
      <c r="H308" s="2">
        <v>14</v>
      </c>
      <c r="I308" s="2">
        <v>85.9</v>
      </c>
      <c r="J308" s="2">
        <v>1.17</v>
      </c>
      <c r="K308" s="2">
        <v>1</v>
      </c>
      <c r="L308" s="2">
        <v>3.7</v>
      </c>
      <c r="M308" s="2">
        <v>665342.49</v>
      </c>
      <c r="N308" s="2">
        <v>93441.81</v>
      </c>
    </row>
    <row r="309" spans="1:14">
      <c r="A309" s="2" t="s">
        <v>98</v>
      </c>
      <c r="B309" s="3">
        <v>45748</v>
      </c>
      <c r="C309" s="2" t="s">
        <v>24</v>
      </c>
      <c r="D309" s="2" t="s">
        <v>16</v>
      </c>
      <c r="E309" s="2">
        <v>60684.05</v>
      </c>
      <c r="F309" s="2">
        <v>6399</v>
      </c>
      <c r="G309" s="2">
        <v>7.4999999999999997E-2</v>
      </c>
      <c r="H309" s="2">
        <v>16</v>
      </c>
      <c r="I309" s="2">
        <v>99</v>
      </c>
      <c r="J309" s="2">
        <v>3.82</v>
      </c>
      <c r="K309" s="2">
        <v>0</v>
      </c>
      <c r="L309" s="2">
        <v>3.5</v>
      </c>
      <c r="M309" s="2">
        <v>651164.18000000005</v>
      </c>
      <c r="N309" s="2">
        <v>109466.5</v>
      </c>
    </row>
    <row r="310" spans="1:14">
      <c r="A310" s="2" t="s">
        <v>99</v>
      </c>
      <c r="B310" s="3">
        <v>45658</v>
      </c>
      <c r="C310" s="2" t="s">
        <v>24</v>
      </c>
      <c r="D310" s="2" t="s">
        <v>18</v>
      </c>
      <c r="E310" s="2">
        <v>48465.599999999999</v>
      </c>
      <c r="F310" s="2">
        <v>5759</v>
      </c>
      <c r="G310" s="2">
        <v>0.154</v>
      </c>
      <c r="H310" s="2">
        <v>13</v>
      </c>
      <c r="I310" s="2">
        <v>87.5</v>
      </c>
      <c r="J310" s="2">
        <v>4.1399999999999997</v>
      </c>
      <c r="K310" s="2">
        <v>0</v>
      </c>
      <c r="L310" s="2">
        <v>4</v>
      </c>
      <c r="M310" s="2">
        <v>628538.30000000005</v>
      </c>
      <c r="N310" s="2">
        <v>112509.15</v>
      </c>
    </row>
    <row r="311" spans="1:14">
      <c r="A311" s="2" t="s">
        <v>99</v>
      </c>
      <c r="B311" s="3">
        <v>45689</v>
      </c>
      <c r="C311" s="2" t="s">
        <v>24</v>
      </c>
      <c r="D311" s="2" t="s">
        <v>18</v>
      </c>
      <c r="E311" s="2">
        <v>23702.38</v>
      </c>
      <c r="F311" s="2">
        <v>5285</v>
      </c>
      <c r="G311" s="2">
        <v>0.16700000000000001</v>
      </c>
      <c r="H311" s="2">
        <v>14</v>
      </c>
      <c r="I311" s="2">
        <v>79.7</v>
      </c>
      <c r="J311" s="2">
        <v>1.1000000000000001</v>
      </c>
      <c r="K311" s="2">
        <v>0</v>
      </c>
      <c r="L311" s="2">
        <v>4.3</v>
      </c>
      <c r="M311" s="2">
        <v>536524.84</v>
      </c>
      <c r="N311" s="2">
        <v>92752.94</v>
      </c>
    </row>
    <row r="312" spans="1:14">
      <c r="A312" s="2" t="s">
        <v>99</v>
      </c>
      <c r="B312" s="3">
        <v>45717</v>
      </c>
      <c r="C312" s="2" t="s">
        <v>24</v>
      </c>
      <c r="D312" s="2" t="s">
        <v>18</v>
      </c>
      <c r="E312" s="2">
        <v>54322.94</v>
      </c>
      <c r="F312" s="2">
        <v>5434</v>
      </c>
      <c r="G312" s="2">
        <v>0.2</v>
      </c>
      <c r="H312" s="2">
        <v>13</v>
      </c>
      <c r="I312" s="2">
        <v>85.7</v>
      </c>
      <c r="J312" s="2">
        <v>10.6</v>
      </c>
      <c r="K312" s="2">
        <v>0</v>
      </c>
      <c r="L312" s="2">
        <v>4.2</v>
      </c>
      <c r="M312" s="2">
        <v>621677.30000000005</v>
      </c>
      <c r="N312" s="2">
        <v>105192.52</v>
      </c>
    </row>
    <row r="313" spans="1:14">
      <c r="A313" s="2" t="s">
        <v>99</v>
      </c>
      <c r="B313" s="3">
        <v>45748</v>
      </c>
      <c r="C313" s="2" t="s">
        <v>24</v>
      </c>
      <c r="D313" s="2" t="s">
        <v>18</v>
      </c>
      <c r="E313" s="2">
        <v>86026.58</v>
      </c>
      <c r="F313" s="2">
        <v>7479</v>
      </c>
      <c r="G313" s="2">
        <v>0.14199999999999999</v>
      </c>
      <c r="H313" s="2">
        <v>20</v>
      </c>
      <c r="I313" s="2">
        <v>89</v>
      </c>
      <c r="J313" s="2">
        <v>0.9</v>
      </c>
      <c r="K313" s="2">
        <v>0</v>
      </c>
      <c r="L313" s="2"/>
      <c r="M313" s="2">
        <v>771129.07</v>
      </c>
      <c r="N313" s="2">
        <v>116851.13</v>
      </c>
    </row>
    <row r="314" spans="1:14">
      <c r="A314" s="2" t="s">
        <v>100</v>
      </c>
      <c r="B314" s="3">
        <v>45658</v>
      </c>
      <c r="C314" s="2" t="s">
        <v>20</v>
      </c>
      <c r="D314" s="2" t="s">
        <v>16</v>
      </c>
      <c r="E314" s="2">
        <v>78967.520000000004</v>
      </c>
      <c r="F314" s="2">
        <v>6164</v>
      </c>
      <c r="G314" s="2">
        <v>2.1000000000000001E-2</v>
      </c>
      <c r="H314" s="2">
        <v>16</v>
      </c>
      <c r="I314" s="2">
        <v>85.5</v>
      </c>
      <c r="J314" s="2">
        <v>0.2</v>
      </c>
      <c r="K314" s="2">
        <v>0</v>
      </c>
      <c r="L314" s="2">
        <v>3.4</v>
      </c>
      <c r="M314" s="2">
        <v>702052.47</v>
      </c>
      <c r="N314" s="2">
        <v>121732.51</v>
      </c>
    </row>
    <row r="315" spans="1:14">
      <c r="A315" s="2" t="s">
        <v>100</v>
      </c>
      <c r="B315" s="3">
        <v>45689</v>
      </c>
      <c r="C315" s="2" t="s">
        <v>20</v>
      </c>
      <c r="D315" s="2" t="s">
        <v>16</v>
      </c>
      <c r="E315" s="2">
        <v>46767.99</v>
      </c>
      <c r="F315" s="2">
        <v>7973</v>
      </c>
      <c r="G315" s="2">
        <v>0.183</v>
      </c>
      <c r="H315" s="2">
        <v>18</v>
      </c>
      <c r="I315" s="2">
        <v>94.8</v>
      </c>
      <c r="J315" s="2">
        <v>4.67</v>
      </c>
      <c r="K315" s="2">
        <v>0</v>
      </c>
      <c r="L315" s="2"/>
      <c r="M315" s="2">
        <v>688368.46</v>
      </c>
      <c r="N315" s="2">
        <v>93588.42</v>
      </c>
    </row>
    <row r="316" spans="1:14">
      <c r="A316" s="2" t="s">
        <v>100</v>
      </c>
      <c r="B316" s="3">
        <v>45717</v>
      </c>
      <c r="C316" s="2" t="s">
        <v>20</v>
      </c>
      <c r="D316" s="2" t="s">
        <v>16</v>
      </c>
      <c r="E316" s="2">
        <v>62507.16</v>
      </c>
      <c r="F316" s="2">
        <v>6000</v>
      </c>
      <c r="G316" s="2">
        <v>9.0999999999999998E-2</v>
      </c>
      <c r="H316" s="2">
        <v>14</v>
      </c>
      <c r="I316" s="2">
        <v>98.2</v>
      </c>
      <c r="J316" s="2">
        <v>4.38</v>
      </c>
      <c r="K316" s="2">
        <v>1</v>
      </c>
      <c r="L316" s="2">
        <v>3.9</v>
      </c>
      <c r="M316" s="2">
        <v>712375.77</v>
      </c>
      <c r="N316" s="2">
        <v>104171.53</v>
      </c>
    </row>
    <row r="317" spans="1:14">
      <c r="A317" s="2" t="s">
        <v>100</v>
      </c>
      <c r="B317" s="3">
        <v>45748</v>
      </c>
      <c r="C317" s="2" t="s">
        <v>20</v>
      </c>
      <c r="D317" s="2" t="s">
        <v>16</v>
      </c>
      <c r="E317" s="2">
        <v>66456.28</v>
      </c>
      <c r="F317" s="2">
        <v>9967</v>
      </c>
      <c r="G317" s="2">
        <v>0.108</v>
      </c>
      <c r="H317" s="2">
        <v>20</v>
      </c>
      <c r="I317" s="2">
        <v>94.7</v>
      </c>
      <c r="J317" s="2">
        <v>4.4800000000000004</v>
      </c>
      <c r="K317" s="2">
        <v>0</v>
      </c>
      <c r="L317" s="2">
        <v>4.2</v>
      </c>
      <c r="M317" s="2">
        <v>844710.67</v>
      </c>
      <c r="N317" s="2">
        <v>137140.18</v>
      </c>
    </row>
    <row r="318" spans="1:14">
      <c r="A318" s="2" t="s">
        <v>101</v>
      </c>
      <c r="B318" s="3">
        <v>45658</v>
      </c>
      <c r="C318" s="2" t="s">
        <v>15</v>
      </c>
      <c r="D318" s="2" t="s">
        <v>16</v>
      </c>
      <c r="E318" s="2">
        <v>76614.320000000007</v>
      </c>
      <c r="F318" s="2">
        <v>5639</v>
      </c>
      <c r="G318" s="2">
        <v>0.17399999999999999</v>
      </c>
      <c r="H318" s="2">
        <v>15</v>
      </c>
      <c r="I318" s="2">
        <v>92.9</v>
      </c>
      <c r="J318" s="2">
        <v>1.02</v>
      </c>
      <c r="K318" s="2">
        <v>1</v>
      </c>
      <c r="L318" s="2">
        <v>4</v>
      </c>
      <c r="M318" s="2">
        <v>620264.19999999995</v>
      </c>
      <c r="N318" s="2">
        <v>91365.64</v>
      </c>
    </row>
    <row r="319" spans="1:14">
      <c r="A319" s="2" t="s">
        <v>101</v>
      </c>
      <c r="B319" s="3">
        <v>45689</v>
      </c>
      <c r="C319" s="2" t="s">
        <v>15</v>
      </c>
      <c r="D319" s="2" t="s">
        <v>16</v>
      </c>
      <c r="E319" s="2">
        <v>24088.06</v>
      </c>
      <c r="F319" s="2">
        <v>3466</v>
      </c>
      <c r="G319" s="2">
        <v>0</v>
      </c>
      <c r="H319" s="2">
        <v>11</v>
      </c>
      <c r="I319" s="2">
        <v>88</v>
      </c>
      <c r="J319" s="2">
        <v>0.2</v>
      </c>
      <c r="K319" s="2">
        <v>0</v>
      </c>
      <c r="L319" s="2">
        <v>3.8</v>
      </c>
      <c r="M319" s="2">
        <v>536845.42000000004</v>
      </c>
      <c r="N319" s="2">
        <v>107473.75</v>
      </c>
    </row>
    <row r="320" spans="1:14">
      <c r="A320" s="2" t="s">
        <v>101</v>
      </c>
      <c r="B320" s="3">
        <v>45717</v>
      </c>
      <c r="C320" s="2" t="s">
        <v>15</v>
      </c>
      <c r="D320" s="2" t="s">
        <v>16</v>
      </c>
      <c r="E320" s="2">
        <v>81902.58</v>
      </c>
      <c r="F320" s="2">
        <v>7775</v>
      </c>
      <c r="G320" s="2">
        <v>0.215</v>
      </c>
      <c r="H320" s="2">
        <v>20</v>
      </c>
      <c r="I320" s="2">
        <v>85.2</v>
      </c>
      <c r="J320" s="2">
        <v>4.8899999999999997</v>
      </c>
      <c r="K320" s="2">
        <v>1</v>
      </c>
      <c r="L320" s="2">
        <v>4.2</v>
      </c>
      <c r="M320" s="2">
        <v>726776.22</v>
      </c>
      <c r="N320" s="2">
        <v>90804.49</v>
      </c>
    </row>
    <row r="321" spans="1:14">
      <c r="A321" s="2" t="s">
        <v>101</v>
      </c>
      <c r="B321" s="3">
        <v>45748</v>
      </c>
      <c r="C321" s="2" t="s">
        <v>15</v>
      </c>
      <c r="D321" s="2" t="s">
        <v>16</v>
      </c>
      <c r="E321" s="2">
        <v>40553.11</v>
      </c>
      <c r="F321" s="2">
        <v>5317</v>
      </c>
      <c r="G321" s="2">
        <v>0.16500000000000001</v>
      </c>
      <c r="H321" s="2">
        <v>17</v>
      </c>
      <c r="I321" s="2">
        <v>84.3</v>
      </c>
      <c r="J321" s="2">
        <v>11.82</v>
      </c>
      <c r="K321" s="2">
        <v>0</v>
      </c>
      <c r="L321" s="2">
        <v>4.0999999999999996</v>
      </c>
      <c r="M321" s="2">
        <v>559660.84</v>
      </c>
      <c r="N321" s="2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550C-8211-4F87-9E5A-BF9745CB93AA}">
  <dimension ref="A3:A15"/>
  <sheetViews>
    <sheetView workbookViewId="0">
      <selection activeCell="F16" sqref="F16"/>
    </sheetView>
  </sheetViews>
  <sheetFormatPr defaultRowHeight="14.5"/>
  <cols>
    <col min="1" max="1" width="12.36328125" bestFit="1" customWidth="1"/>
  </cols>
  <sheetData>
    <row r="3" spans="1:1">
      <c r="A3" s="4" t="s">
        <v>102</v>
      </c>
    </row>
    <row r="4" spans="1:1">
      <c r="A4" s="5" t="s">
        <v>15</v>
      </c>
    </row>
    <row r="5" spans="1:1">
      <c r="A5" s="5" t="s">
        <v>20</v>
      </c>
    </row>
    <row r="6" spans="1:1">
      <c r="A6" s="5" t="s">
        <v>24</v>
      </c>
    </row>
    <row r="7" spans="1:1">
      <c r="A7" s="5" t="s">
        <v>27</v>
      </c>
    </row>
    <row r="8" spans="1:1">
      <c r="A8" s="5" t="s">
        <v>103</v>
      </c>
    </row>
    <row r="10" spans="1:1">
      <c r="A10" s="4" t="s">
        <v>102</v>
      </c>
    </row>
    <row r="11" spans="1:1">
      <c r="A11" s="5" t="s">
        <v>21</v>
      </c>
    </row>
    <row r="12" spans="1:1">
      <c r="A12" s="5" t="s">
        <v>18</v>
      </c>
    </row>
    <row r="13" spans="1:1">
      <c r="A13" s="5" t="s">
        <v>28</v>
      </c>
    </row>
    <row r="14" spans="1:1">
      <c r="A14" s="5" t="s">
        <v>16</v>
      </c>
    </row>
    <row r="15" spans="1:1">
      <c r="A15" s="5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50D0D-476F-44BA-90F3-06BE76BC3A94}">
  <dimension ref="A1:N321"/>
  <sheetViews>
    <sheetView topLeftCell="F1" workbookViewId="0">
      <selection activeCell="J26" sqref="J26"/>
    </sheetView>
  </sheetViews>
  <sheetFormatPr defaultRowHeight="14.5"/>
  <cols>
    <col min="1" max="14" width="17.453125" customWidth="1"/>
  </cols>
  <sheetData>
    <row r="1" spans="1:14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45658</v>
      </c>
      <c r="C2" s="2" t="s">
        <v>15</v>
      </c>
      <c r="D2" s="2" t="s">
        <v>16</v>
      </c>
      <c r="E2" s="2">
        <v>70389.11</v>
      </c>
      <c r="F2" s="2">
        <v>8302</v>
      </c>
      <c r="G2" s="2">
        <v>4.2000000000000003E-2</v>
      </c>
      <c r="H2" s="2">
        <v>17</v>
      </c>
      <c r="I2" s="2">
        <v>75</v>
      </c>
      <c r="J2" s="2">
        <v>5.28</v>
      </c>
      <c r="K2" s="2">
        <v>1</v>
      </c>
      <c r="L2" s="2">
        <v>3.1</v>
      </c>
      <c r="M2" s="2">
        <v>658832.62</v>
      </c>
      <c r="N2" s="2">
        <v>84349.93</v>
      </c>
    </row>
    <row r="3" spans="1:14">
      <c r="A3" s="2" t="s">
        <v>14</v>
      </c>
      <c r="B3" s="3">
        <v>45689</v>
      </c>
      <c r="C3" s="2" t="s">
        <v>15</v>
      </c>
      <c r="D3" s="2" t="s">
        <v>16</v>
      </c>
      <c r="E3" s="2">
        <v>43827.89</v>
      </c>
      <c r="F3" s="2">
        <v>8487</v>
      </c>
      <c r="G3" s="2">
        <v>0.16800000000000001</v>
      </c>
      <c r="H3" s="2">
        <v>23</v>
      </c>
      <c r="I3" s="2">
        <v>84.4</v>
      </c>
      <c r="J3" s="2">
        <v>4.3099999999999996</v>
      </c>
      <c r="K3" s="2">
        <v>0</v>
      </c>
      <c r="L3" s="2">
        <v>2.8</v>
      </c>
      <c r="M3" s="2">
        <v>634436</v>
      </c>
      <c r="N3" s="2">
        <v>106130.54</v>
      </c>
    </row>
    <row r="4" spans="1:14">
      <c r="A4" s="2" t="s">
        <v>14</v>
      </c>
      <c r="B4" s="3">
        <v>45717</v>
      </c>
      <c r="C4" s="2" t="s">
        <v>15</v>
      </c>
      <c r="D4" s="2" t="s">
        <v>16</v>
      </c>
      <c r="E4" s="2">
        <v>59921.75</v>
      </c>
      <c r="F4" s="2">
        <v>9113</v>
      </c>
      <c r="G4" s="2">
        <v>0.13300000000000001</v>
      </c>
      <c r="H4" s="2">
        <v>20</v>
      </c>
      <c r="I4" s="2">
        <v>88</v>
      </c>
      <c r="J4" s="2">
        <v>12</v>
      </c>
      <c r="K4" s="2">
        <v>0</v>
      </c>
      <c r="L4" s="2">
        <v>3.2</v>
      </c>
      <c r="M4" s="2">
        <v>678722.06</v>
      </c>
      <c r="N4" s="2">
        <v>101883.86</v>
      </c>
    </row>
    <row r="5" spans="1:14">
      <c r="A5" s="2" t="s">
        <v>14</v>
      </c>
      <c r="B5" s="3">
        <v>45748</v>
      </c>
      <c r="C5" s="2" t="s">
        <v>15</v>
      </c>
      <c r="D5" s="2" t="s">
        <v>16</v>
      </c>
      <c r="E5" s="2">
        <v>56856.63</v>
      </c>
      <c r="F5" s="2">
        <v>9431</v>
      </c>
      <c r="G5" s="2">
        <v>0.14199999999999999</v>
      </c>
      <c r="H5" s="2">
        <v>23</v>
      </c>
      <c r="I5" s="2">
        <v>86.9</v>
      </c>
      <c r="J5" s="2">
        <v>4.97</v>
      </c>
      <c r="K5" s="2">
        <v>0</v>
      </c>
      <c r="L5" s="2">
        <v>3.4</v>
      </c>
      <c r="M5" s="2">
        <v>658920.30000000005</v>
      </c>
      <c r="N5" s="2">
        <v>97910.37</v>
      </c>
    </row>
    <row r="6" spans="1:14">
      <c r="A6" s="2" t="s">
        <v>17</v>
      </c>
      <c r="B6" s="3">
        <v>45658</v>
      </c>
      <c r="C6" s="2" t="s">
        <v>15</v>
      </c>
      <c r="D6" s="2" t="s">
        <v>18</v>
      </c>
      <c r="E6" s="2">
        <v>48412.639999999999</v>
      </c>
      <c r="F6" s="2">
        <v>9545</v>
      </c>
      <c r="G6" s="2">
        <v>0.23100000000000001</v>
      </c>
      <c r="H6" s="2">
        <v>21</v>
      </c>
      <c r="I6" s="2">
        <v>97.6</v>
      </c>
      <c r="J6" s="2">
        <v>6.94</v>
      </c>
      <c r="K6" s="2">
        <v>1</v>
      </c>
      <c r="L6" s="2">
        <v>4.2</v>
      </c>
      <c r="M6" s="2">
        <v>741341.44</v>
      </c>
      <c r="N6" s="2">
        <v>119208.17</v>
      </c>
    </row>
    <row r="7" spans="1:14">
      <c r="A7" s="2" t="s">
        <v>17</v>
      </c>
      <c r="B7" s="3">
        <v>45689</v>
      </c>
      <c r="C7" s="2" t="s">
        <v>15</v>
      </c>
      <c r="D7" s="2" t="s">
        <v>18</v>
      </c>
      <c r="E7" s="2">
        <v>64811.21</v>
      </c>
      <c r="F7" s="2">
        <v>9792</v>
      </c>
      <c r="G7" s="2">
        <v>0.112</v>
      </c>
      <c r="H7" s="2">
        <v>20</v>
      </c>
      <c r="I7" s="2">
        <v>84.2</v>
      </c>
      <c r="J7" s="2">
        <v>2.88</v>
      </c>
      <c r="K7" s="2">
        <v>0</v>
      </c>
      <c r="L7" s="2">
        <v>4.2</v>
      </c>
      <c r="M7" s="2">
        <v>761835.34</v>
      </c>
      <c r="N7" s="2">
        <v>149602.23000000001</v>
      </c>
    </row>
    <row r="8" spans="1:14">
      <c r="A8" s="2" t="s">
        <v>17</v>
      </c>
      <c r="B8" s="3">
        <v>45717</v>
      </c>
      <c r="C8" s="2" t="s">
        <v>15</v>
      </c>
      <c r="D8" s="2" t="s">
        <v>18</v>
      </c>
      <c r="E8" s="2">
        <v>46213.45</v>
      </c>
      <c r="F8" s="2">
        <v>10616</v>
      </c>
      <c r="G8" s="2">
        <v>0.122</v>
      </c>
      <c r="H8" s="2">
        <v>22</v>
      </c>
      <c r="I8" s="2">
        <v>85.2</v>
      </c>
      <c r="J8" s="2">
        <v>0.2</v>
      </c>
      <c r="K8" s="2">
        <v>1</v>
      </c>
      <c r="L8" s="2">
        <v>4.0999999999999996</v>
      </c>
      <c r="M8" s="2">
        <v>806615.54</v>
      </c>
      <c r="N8" s="2">
        <v>131364.62</v>
      </c>
    </row>
    <row r="9" spans="1:14">
      <c r="A9" s="2" t="s">
        <v>17</v>
      </c>
      <c r="B9" s="3">
        <v>45748</v>
      </c>
      <c r="C9" s="2" t="s">
        <v>15</v>
      </c>
      <c r="D9" s="2" t="s">
        <v>18</v>
      </c>
      <c r="E9" s="2">
        <v>68148.52</v>
      </c>
      <c r="F9" s="2">
        <v>8567</v>
      </c>
      <c r="G9" s="2">
        <v>0.127</v>
      </c>
      <c r="H9" s="2">
        <v>23</v>
      </c>
      <c r="I9" s="2">
        <v>95.6</v>
      </c>
      <c r="J9" s="2">
        <v>0.8</v>
      </c>
      <c r="K9" s="2">
        <v>0</v>
      </c>
      <c r="L9" s="2">
        <v>3.9</v>
      </c>
      <c r="M9" s="2">
        <v>850164.26</v>
      </c>
      <c r="N9" s="2">
        <v>149262.75</v>
      </c>
    </row>
    <row r="10" spans="1:14">
      <c r="A10" s="2" t="s">
        <v>19</v>
      </c>
      <c r="B10" s="3">
        <v>45658</v>
      </c>
      <c r="C10" s="2" t="s">
        <v>20</v>
      </c>
      <c r="D10" s="2" t="s">
        <v>21</v>
      </c>
      <c r="E10" s="2">
        <v>71838.86</v>
      </c>
      <c r="F10" s="2">
        <v>10979</v>
      </c>
      <c r="G10" s="2">
        <v>0.215</v>
      </c>
      <c r="H10" s="2">
        <v>26</v>
      </c>
      <c r="I10" s="2">
        <v>88.6</v>
      </c>
      <c r="J10" s="2">
        <v>7.7</v>
      </c>
      <c r="K10" s="2">
        <v>1</v>
      </c>
      <c r="L10" s="2">
        <v>3.8</v>
      </c>
      <c r="M10" s="2">
        <v>930581.7</v>
      </c>
      <c r="N10" s="2">
        <v>136207.98000000001</v>
      </c>
    </row>
    <row r="11" spans="1:14">
      <c r="A11" s="2" t="s">
        <v>19</v>
      </c>
      <c r="B11" s="3">
        <v>45689</v>
      </c>
      <c r="C11" s="2" t="s">
        <v>20</v>
      </c>
      <c r="D11" s="2" t="s">
        <v>21</v>
      </c>
      <c r="E11" s="2">
        <v>68133.440000000002</v>
      </c>
      <c r="F11" s="2">
        <v>9459</v>
      </c>
      <c r="G11" s="2">
        <v>0.22</v>
      </c>
      <c r="H11" s="2">
        <v>21</v>
      </c>
      <c r="I11" s="2">
        <v>85</v>
      </c>
      <c r="J11" s="2">
        <v>1.91</v>
      </c>
      <c r="K11" s="2">
        <v>0</v>
      </c>
      <c r="L11" s="2">
        <v>4.2</v>
      </c>
      <c r="M11" s="2">
        <v>779010.94</v>
      </c>
      <c r="N11" s="2">
        <v>106328.09</v>
      </c>
    </row>
    <row r="12" spans="1:14">
      <c r="A12" s="2" t="s">
        <v>19</v>
      </c>
      <c r="B12" s="3">
        <v>45717</v>
      </c>
      <c r="C12" s="2" t="s">
        <v>20</v>
      </c>
      <c r="D12" s="2" t="s">
        <v>21</v>
      </c>
      <c r="E12" s="2">
        <v>34285.21</v>
      </c>
      <c r="F12" s="2">
        <v>9172</v>
      </c>
      <c r="G12" s="2">
        <v>0.21299999999999999</v>
      </c>
      <c r="H12" s="2">
        <v>22</v>
      </c>
      <c r="I12" s="2">
        <v>88.3</v>
      </c>
      <c r="J12" s="2">
        <v>10.46</v>
      </c>
      <c r="K12" s="2">
        <v>1</v>
      </c>
      <c r="L12" s="2">
        <v>3.8</v>
      </c>
      <c r="M12" s="2">
        <v>723060.76</v>
      </c>
      <c r="N12" s="2">
        <v>123131.24</v>
      </c>
    </row>
    <row r="13" spans="1:14">
      <c r="A13" s="2" t="s">
        <v>19</v>
      </c>
      <c r="B13" s="3">
        <v>45748</v>
      </c>
      <c r="C13" s="2" t="s">
        <v>20</v>
      </c>
      <c r="D13" s="2" t="s">
        <v>21</v>
      </c>
      <c r="E13" s="2">
        <v>67979.88</v>
      </c>
      <c r="F13" s="2">
        <v>11230</v>
      </c>
      <c r="G13" s="2">
        <v>2E-3</v>
      </c>
      <c r="H13" s="2">
        <v>28</v>
      </c>
      <c r="I13" s="2">
        <v>85.3</v>
      </c>
      <c r="J13" s="2">
        <v>7.16</v>
      </c>
      <c r="K13" s="2">
        <v>0</v>
      </c>
      <c r="L13" s="2">
        <v>3.8</v>
      </c>
      <c r="M13" s="2">
        <v>910791.94</v>
      </c>
      <c r="N13" s="2">
        <v>158891.28</v>
      </c>
    </row>
    <row r="14" spans="1:14">
      <c r="A14" s="2" t="s">
        <v>22</v>
      </c>
      <c r="B14" s="3">
        <v>45658</v>
      </c>
      <c r="C14" s="2" t="s">
        <v>15</v>
      </c>
      <c r="D14" s="2" t="s">
        <v>16</v>
      </c>
      <c r="E14" s="2">
        <v>71828.259999999995</v>
      </c>
      <c r="F14" s="2">
        <v>12775</v>
      </c>
      <c r="G14" s="2">
        <v>0.11600000000000001</v>
      </c>
      <c r="H14" s="2">
        <v>30</v>
      </c>
      <c r="I14" s="2">
        <v>81.7</v>
      </c>
      <c r="J14" s="2">
        <v>4.24</v>
      </c>
      <c r="K14" s="2">
        <v>1</v>
      </c>
      <c r="L14" s="2">
        <v>4.2</v>
      </c>
      <c r="M14" s="2">
        <v>922168.6</v>
      </c>
      <c r="N14" s="2">
        <v>107494.53</v>
      </c>
    </row>
    <row r="15" spans="1:14">
      <c r="A15" s="2" t="s">
        <v>22</v>
      </c>
      <c r="B15" s="3">
        <v>45689</v>
      </c>
      <c r="C15" s="2" t="s">
        <v>15</v>
      </c>
      <c r="D15" s="2" t="s">
        <v>16</v>
      </c>
      <c r="E15" s="2">
        <v>55716.82</v>
      </c>
      <c r="F15" s="2">
        <v>10054</v>
      </c>
      <c r="G15" s="2">
        <v>0.14599999999999999</v>
      </c>
      <c r="H15" s="2">
        <v>24</v>
      </c>
      <c r="I15" s="2">
        <v>84.9</v>
      </c>
      <c r="J15" s="2">
        <v>1.06</v>
      </c>
      <c r="K15" s="2">
        <v>0</v>
      </c>
      <c r="L15" s="2">
        <v>4.3</v>
      </c>
      <c r="M15" s="2">
        <v>726606.28</v>
      </c>
      <c r="N15" s="2">
        <v>122729.29</v>
      </c>
    </row>
    <row r="16" spans="1:14">
      <c r="A16" s="2" t="s">
        <v>22</v>
      </c>
      <c r="B16" s="3">
        <v>45717</v>
      </c>
      <c r="C16" s="2" t="s">
        <v>15</v>
      </c>
      <c r="D16" s="2" t="s">
        <v>16</v>
      </c>
      <c r="E16" s="2">
        <v>59909.51</v>
      </c>
      <c r="F16" s="2">
        <v>8895</v>
      </c>
      <c r="G16" s="2">
        <v>0.22800000000000001</v>
      </c>
      <c r="H16" s="2">
        <v>23</v>
      </c>
      <c r="I16" s="2">
        <v>88.8</v>
      </c>
      <c r="J16" s="2">
        <v>0.27</v>
      </c>
      <c r="K16" s="2">
        <v>0</v>
      </c>
      <c r="L16" s="2">
        <v>4.3</v>
      </c>
      <c r="M16" s="2">
        <v>746501.09</v>
      </c>
      <c r="N16" s="2">
        <v>136816.72</v>
      </c>
    </row>
    <row r="17" spans="1:14">
      <c r="A17" s="2" t="s">
        <v>22</v>
      </c>
      <c r="B17" s="3">
        <v>45748</v>
      </c>
      <c r="C17" s="2" t="s">
        <v>15</v>
      </c>
      <c r="D17" s="2" t="s">
        <v>16</v>
      </c>
      <c r="E17" s="2">
        <v>75305.710000000006</v>
      </c>
      <c r="F17" s="2">
        <v>10940</v>
      </c>
      <c r="G17" s="2">
        <v>6.0000000000000001E-3</v>
      </c>
      <c r="H17" s="2">
        <v>26</v>
      </c>
      <c r="I17" s="2">
        <v>76.5</v>
      </c>
      <c r="J17" s="2">
        <v>1.32</v>
      </c>
      <c r="K17" s="2">
        <v>0</v>
      </c>
      <c r="L17" s="2">
        <v>4.5</v>
      </c>
      <c r="M17" s="2">
        <v>834017.02</v>
      </c>
      <c r="N17" s="2">
        <v>114745.03</v>
      </c>
    </row>
    <row r="18" spans="1:14">
      <c r="A18" s="2" t="s">
        <v>23</v>
      </c>
      <c r="B18" s="3">
        <v>45658</v>
      </c>
      <c r="C18" s="2" t="s">
        <v>24</v>
      </c>
      <c r="D18" s="2" t="s">
        <v>16</v>
      </c>
      <c r="E18" s="2">
        <v>48804.22</v>
      </c>
      <c r="F18" s="2">
        <v>7057</v>
      </c>
      <c r="G18" s="2">
        <v>5.0000000000000001E-3</v>
      </c>
      <c r="H18" s="2">
        <v>15</v>
      </c>
      <c r="I18" s="2">
        <v>87.7</v>
      </c>
      <c r="J18" s="2">
        <v>1.22</v>
      </c>
      <c r="K18" s="2">
        <v>0</v>
      </c>
      <c r="L18" s="2">
        <v>3.7</v>
      </c>
      <c r="M18" s="2">
        <v>666152.52</v>
      </c>
      <c r="N18" s="2">
        <v>107490.58</v>
      </c>
    </row>
    <row r="19" spans="1:14">
      <c r="A19" s="2" t="s">
        <v>23</v>
      </c>
      <c r="B19" s="3">
        <v>45689</v>
      </c>
      <c r="C19" s="2" t="s">
        <v>24</v>
      </c>
      <c r="D19" s="2" t="s">
        <v>16</v>
      </c>
      <c r="E19" s="2">
        <v>59117.9</v>
      </c>
      <c r="F19" s="2">
        <v>4263</v>
      </c>
      <c r="G19" s="2">
        <v>0.11899999999999999</v>
      </c>
      <c r="H19" s="2">
        <v>9</v>
      </c>
      <c r="I19" s="2">
        <v>87.6</v>
      </c>
      <c r="J19" s="2">
        <v>4.01</v>
      </c>
      <c r="K19" s="2">
        <v>0</v>
      </c>
      <c r="L19" s="2">
        <v>3.6</v>
      </c>
      <c r="M19" s="2">
        <v>573155.18999999994</v>
      </c>
      <c r="N19" s="2">
        <v>83680.75</v>
      </c>
    </row>
    <row r="20" spans="1:14">
      <c r="A20" s="2" t="s">
        <v>23</v>
      </c>
      <c r="B20" s="3">
        <v>45717</v>
      </c>
      <c r="C20" s="2" t="s">
        <v>24</v>
      </c>
      <c r="D20" s="2" t="s">
        <v>16</v>
      </c>
      <c r="E20" s="2">
        <v>78831.12</v>
      </c>
      <c r="F20" s="2">
        <v>5538</v>
      </c>
      <c r="G20" s="2">
        <v>0</v>
      </c>
      <c r="H20" s="2">
        <v>15</v>
      </c>
      <c r="I20" s="2">
        <v>94.1</v>
      </c>
      <c r="J20" s="2">
        <v>0.2</v>
      </c>
      <c r="K20" s="2">
        <v>0</v>
      </c>
      <c r="L20" s="2">
        <v>3.9</v>
      </c>
      <c r="M20" s="2">
        <v>666573.19999999995</v>
      </c>
      <c r="N20" s="2">
        <v>140641.01999999999</v>
      </c>
    </row>
    <row r="21" spans="1:14">
      <c r="A21" s="2" t="s">
        <v>23</v>
      </c>
      <c r="B21" s="3">
        <v>45748</v>
      </c>
      <c r="C21" s="2" t="s">
        <v>24</v>
      </c>
      <c r="D21" s="2" t="s">
        <v>16</v>
      </c>
      <c r="E21" s="2">
        <v>41441.93</v>
      </c>
      <c r="F21" s="2">
        <v>4865</v>
      </c>
      <c r="G21" s="2">
        <v>0.158</v>
      </c>
      <c r="H21" s="2">
        <v>16</v>
      </c>
      <c r="I21" s="2">
        <v>88.3</v>
      </c>
      <c r="J21" s="2">
        <v>0.5</v>
      </c>
      <c r="K21" s="2">
        <v>0</v>
      </c>
      <c r="L21" s="2">
        <v>4</v>
      </c>
      <c r="M21" s="2">
        <v>591619.94999999995</v>
      </c>
      <c r="N21" s="2">
        <v>99521.35</v>
      </c>
    </row>
    <row r="22" spans="1:14">
      <c r="A22" s="2" t="s">
        <v>25</v>
      </c>
      <c r="B22" s="3">
        <v>45658</v>
      </c>
      <c r="C22" s="2" t="s">
        <v>20</v>
      </c>
      <c r="D22" s="2" t="s">
        <v>16</v>
      </c>
      <c r="E22" s="2">
        <v>30356.28</v>
      </c>
      <c r="F22" s="2">
        <v>2822</v>
      </c>
      <c r="G22" s="2">
        <v>0.23100000000000001</v>
      </c>
      <c r="H22" s="2">
        <v>9</v>
      </c>
      <c r="I22" s="2">
        <v>84.8</v>
      </c>
      <c r="J22" s="2">
        <v>6.95</v>
      </c>
      <c r="K22" s="2">
        <v>0</v>
      </c>
      <c r="L22" s="2">
        <v>5</v>
      </c>
      <c r="M22" s="2">
        <v>415721.82</v>
      </c>
      <c r="N22" s="2">
        <v>61179.15</v>
      </c>
    </row>
    <row r="23" spans="1:14">
      <c r="A23" s="2" t="s">
        <v>25</v>
      </c>
      <c r="B23" s="3">
        <v>45689</v>
      </c>
      <c r="C23" s="2" t="s">
        <v>20</v>
      </c>
      <c r="D23" s="2" t="s">
        <v>16</v>
      </c>
      <c r="E23" s="2">
        <v>33518.879999999997</v>
      </c>
      <c r="F23" s="2">
        <v>2121</v>
      </c>
      <c r="G23" s="2">
        <v>0.17599999999999999</v>
      </c>
      <c r="H23" s="2">
        <v>8</v>
      </c>
      <c r="I23" s="2">
        <v>88.5</v>
      </c>
      <c r="J23" s="2">
        <v>0.2</v>
      </c>
      <c r="K23" s="2">
        <v>0</v>
      </c>
      <c r="L23" s="2">
        <v>5</v>
      </c>
      <c r="M23" s="2">
        <v>491905.13</v>
      </c>
      <c r="N23" s="2">
        <v>79212.259999999995</v>
      </c>
    </row>
    <row r="24" spans="1:14">
      <c r="A24" s="2" t="s">
        <v>25</v>
      </c>
      <c r="B24" s="3">
        <v>45717</v>
      </c>
      <c r="C24" s="2" t="s">
        <v>20</v>
      </c>
      <c r="D24" s="2" t="s">
        <v>16</v>
      </c>
      <c r="E24" s="2">
        <v>42267.37</v>
      </c>
      <c r="F24" s="2">
        <v>3364</v>
      </c>
      <c r="G24" s="2">
        <v>0.16</v>
      </c>
      <c r="H24" s="2">
        <v>13</v>
      </c>
      <c r="I24" s="2">
        <v>82</v>
      </c>
      <c r="J24" s="2">
        <v>1.61</v>
      </c>
      <c r="K24" s="2">
        <v>1</v>
      </c>
      <c r="L24" s="2">
        <v>4.5999999999999996</v>
      </c>
      <c r="M24" s="2">
        <v>555929.4</v>
      </c>
      <c r="N24" s="2">
        <v>115201.76</v>
      </c>
    </row>
    <row r="25" spans="1:14">
      <c r="A25" s="2" t="s">
        <v>25</v>
      </c>
      <c r="B25" s="3">
        <v>45748</v>
      </c>
      <c r="C25" s="2" t="s">
        <v>20</v>
      </c>
      <c r="D25" s="2" t="s">
        <v>16</v>
      </c>
      <c r="E25" s="2">
        <v>62060.43</v>
      </c>
      <c r="F25" s="2">
        <v>2613</v>
      </c>
      <c r="G25" s="2">
        <v>0.216</v>
      </c>
      <c r="H25" s="2">
        <v>12</v>
      </c>
      <c r="I25" s="2">
        <v>92.1</v>
      </c>
      <c r="J25" s="2">
        <v>1.55</v>
      </c>
      <c r="K25" s="2">
        <v>0</v>
      </c>
      <c r="L25" s="2">
        <v>4.7</v>
      </c>
      <c r="M25" s="2">
        <v>565810.99</v>
      </c>
      <c r="N25" s="2">
        <v>77825.460000000006</v>
      </c>
    </row>
    <row r="26" spans="1:14">
      <c r="A26" s="2" t="s">
        <v>26</v>
      </c>
      <c r="B26" s="3">
        <v>45658</v>
      </c>
      <c r="C26" s="2" t="s">
        <v>27</v>
      </c>
      <c r="D26" s="2" t="s">
        <v>28</v>
      </c>
      <c r="E26" s="2">
        <v>57696.69</v>
      </c>
      <c r="F26" s="2">
        <v>10218</v>
      </c>
      <c r="G26" s="2">
        <v>0.121</v>
      </c>
      <c r="H26" s="2">
        <v>25</v>
      </c>
      <c r="I26" s="2">
        <v>94.8</v>
      </c>
      <c r="J26" s="2">
        <v>2.99</v>
      </c>
      <c r="K26" s="2">
        <v>0</v>
      </c>
      <c r="L26" s="2">
        <v>3.5</v>
      </c>
      <c r="M26" s="2">
        <v>811771.14</v>
      </c>
      <c r="N26" s="2">
        <v>148756.24</v>
      </c>
    </row>
    <row r="27" spans="1:14">
      <c r="A27" s="2" t="s">
        <v>26</v>
      </c>
      <c r="B27" s="3">
        <v>45689</v>
      </c>
      <c r="C27" s="2" t="s">
        <v>27</v>
      </c>
      <c r="D27" s="2" t="s">
        <v>28</v>
      </c>
      <c r="E27" s="2">
        <v>172415.52</v>
      </c>
      <c r="F27" s="2">
        <v>8927</v>
      </c>
      <c r="G27" s="2">
        <v>0.14000000000000001</v>
      </c>
      <c r="H27" s="2">
        <v>22</v>
      </c>
      <c r="I27" s="2">
        <v>86.2</v>
      </c>
      <c r="J27" s="2">
        <v>7.04</v>
      </c>
      <c r="K27" s="2">
        <v>0</v>
      </c>
      <c r="L27" s="2">
        <v>3.9</v>
      </c>
      <c r="M27" s="2">
        <v>800451.94</v>
      </c>
      <c r="N27" s="2">
        <v>111572.29</v>
      </c>
    </row>
    <row r="28" spans="1:14">
      <c r="A28" s="2" t="s">
        <v>26</v>
      </c>
      <c r="B28" s="3">
        <v>45717</v>
      </c>
      <c r="C28" s="2" t="s">
        <v>27</v>
      </c>
      <c r="D28" s="2" t="s">
        <v>28</v>
      </c>
      <c r="E28" s="2">
        <v>55270.52</v>
      </c>
      <c r="F28" s="2">
        <v>9315</v>
      </c>
      <c r="G28" s="2">
        <v>0.16900000000000001</v>
      </c>
      <c r="H28" s="2">
        <v>23</v>
      </c>
      <c r="I28" s="2">
        <v>91.9</v>
      </c>
      <c r="J28" s="2">
        <v>4.9400000000000004</v>
      </c>
      <c r="K28" s="2">
        <v>0</v>
      </c>
      <c r="L28" s="2">
        <v>4</v>
      </c>
      <c r="M28" s="2">
        <v>783672.82</v>
      </c>
      <c r="N28" s="2">
        <v>112577.14</v>
      </c>
    </row>
    <row r="29" spans="1:14">
      <c r="A29" s="2" t="s">
        <v>26</v>
      </c>
      <c r="B29" s="3">
        <v>45748</v>
      </c>
      <c r="C29" s="2" t="s">
        <v>27</v>
      </c>
      <c r="D29" s="2" t="s">
        <v>28</v>
      </c>
      <c r="E29" s="2">
        <v>52715.1</v>
      </c>
      <c r="F29" s="2">
        <v>7223</v>
      </c>
      <c r="G29" s="2">
        <v>0.122</v>
      </c>
      <c r="H29" s="2">
        <v>16</v>
      </c>
      <c r="I29" s="2">
        <v>84.2</v>
      </c>
      <c r="J29" s="2">
        <v>16.149999999999999</v>
      </c>
      <c r="K29" s="2">
        <v>0</v>
      </c>
      <c r="L29" s="2">
        <v>3.7</v>
      </c>
      <c r="M29" s="2">
        <v>701641.97</v>
      </c>
      <c r="N29" s="2">
        <v>106111.86</v>
      </c>
    </row>
    <row r="30" spans="1:14">
      <c r="A30" s="2" t="s">
        <v>29</v>
      </c>
      <c r="B30" s="3">
        <v>45658</v>
      </c>
      <c r="C30" s="2" t="s">
        <v>15</v>
      </c>
      <c r="D30" s="2" t="s">
        <v>16</v>
      </c>
      <c r="E30" s="2">
        <v>68600.62</v>
      </c>
      <c r="F30" s="2">
        <v>3988</v>
      </c>
      <c r="G30" s="2">
        <v>0.124</v>
      </c>
      <c r="H30" s="2">
        <v>11</v>
      </c>
      <c r="I30" s="2">
        <v>85</v>
      </c>
      <c r="J30" s="2">
        <v>0.48</v>
      </c>
      <c r="K30" s="2">
        <v>0</v>
      </c>
      <c r="L30" s="2">
        <v>3.6</v>
      </c>
      <c r="M30" s="2">
        <v>511844.41</v>
      </c>
      <c r="N30" s="2">
        <v>72774.44</v>
      </c>
    </row>
    <row r="31" spans="1:14">
      <c r="A31" s="2" t="s">
        <v>29</v>
      </c>
      <c r="B31" s="3">
        <v>45689</v>
      </c>
      <c r="C31" s="2" t="s">
        <v>15</v>
      </c>
      <c r="D31" s="2" t="s">
        <v>16</v>
      </c>
      <c r="E31" s="2">
        <v>63176.73</v>
      </c>
      <c r="F31" s="2">
        <v>2390</v>
      </c>
      <c r="G31" s="2">
        <v>0.216</v>
      </c>
      <c r="H31" s="2">
        <v>9</v>
      </c>
      <c r="I31" s="2">
        <v>87.5</v>
      </c>
      <c r="J31" s="2">
        <v>0.31</v>
      </c>
      <c r="K31" s="2">
        <v>0</v>
      </c>
      <c r="L31" s="2">
        <v>3.1</v>
      </c>
      <c r="M31" s="2">
        <v>537383.79</v>
      </c>
      <c r="N31" s="2">
        <v>63773.27</v>
      </c>
    </row>
    <row r="32" spans="1:14">
      <c r="A32" s="2" t="s">
        <v>29</v>
      </c>
      <c r="B32" s="3">
        <v>45717</v>
      </c>
      <c r="C32" s="2" t="s">
        <v>15</v>
      </c>
      <c r="D32" s="2" t="s">
        <v>16</v>
      </c>
      <c r="E32" s="2">
        <v>44970.080000000002</v>
      </c>
      <c r="F32" s="2">
        <v>2471</v>
      </c>
      <c r="G32" s="2">
        <v>0.13600000000000001</v>
      </c>
      <c r="H32" s="2">
        <v>11</v>
      </c>
      <c r="I32" s="2">
        <v>87.6</v>
      </c>
      <c r="J32" s="2">
        <v>3.01</v>
      </c>
      <c r="K32" s="2">
        <v>1</v>
      </c>
      <c r="L32" s="2">
        <v>3.7</v>
      </c>
      <c r="M32" s="2">
        <v>500173.02</v>
      </c>
      <c r="N32" s="2">
        <v>70982.05</v>
      </c>
    </row>
    <row r="33" spans="1:14">
      <c r="A33" s="2" t="s">
        <v>29</v>
      </c>
      <c r="B33" s="3">
        <v>45748</v>
      </c>
      <c r="C33" s="2" t="s">
        <v>15</v>
      </c>
      <c r="D33" s="2" t="s">
        <v>16</v>
      </c>
      <c r="E33" s="2">
        <v>69816.350000000006</v>
      </c>
      <c r="F33" s="2">
        <v>971</v>
      </c>
      <c r="G33" s="2">
        <v>0.16800000000000001</v>
      </c>
      <c r="H33" s="2">
        <v>5</v>
      </c>
      <c r="I33" s="2">
        <v>89.9</v>
      </c>
      <c r="J33" s="2">
        <v>12.15</v>
      </c>
      <c r="K33" s="2">
        <v>0</v>
      </c>
      <c r="L33" s="2">
        <v>3.6</v>
      </c>
      <c r="M33" s="2">
        <v>427917.38</v>
      </c>
      <c r="N33" s="2">
        <v>81824.31</v>
      </c>
    </row>
    <row r="34" spans="1:14">
      <c r="A34" s="2" t="s">
        <v>30</v>
      </c>
      <c r="B34" s="3">
        <v>45658</v>
      </c>
      <c r="C34" s="2" t="s">
        <v>20</v>
      </c>
      <c r="D34" s="2" t="s">
        <v>16</v>
      </c>
      <c r="E34" s="2">
        <v>54597.83</v>
      </c>
      <c r="F34" s="2">
        <v>9429</v>
      </c>
      <c r="G34" s="2">
        <v>0.188</v>
      </c>
      <c r="H34" s="2">
        <v>21</v>
      </c>
      <c r="I34" s="2">
        <v>83.3</v>
      </c>
      <c r="J34" s="2">
        <v>11.71</v>
      </c>
      <c r="K34" s="2">
        <v>0</v>
      </c>
      <c r="L34" s="2">
        <v>4.2</v>
      </c>
      <c r="M34" s="2">
        <v>641865.03</v>
      </c>
      <c r="N34" s="2">
        <v>81342.58</v>
      </c>
    </row>
    <row r="35" spans="1:14">
      <c r="A35" s="2" t="s">
        <v>30</v>
      </c>
      <c r="B35" s="3">
        <v>45689</v>
      </c>
      <c r="C35" s="2" t="s">
        <v>20</v>
      </c>
      <c r="D35" s="2" t="s">
        <v>16</v>
      </c>
      <c r="E35" s="2">
        <v>73771.91</v>
      </c>
      <c r="F35" s="2">
        <v>11695</v>
      </c>
      <c r="G35" s="2">
        <v>7.0000000000000007E-2</v>
      </c>
      <c r="H35" s="2">
        <v>25</v>
      </c>
      <c r="I35" s="2">
        <v>84.7</v>
      </c>
      <c r="J35" s="2">
        <v>0.62</v>
      </c>
      <c r="K35" s="2">
        <v>0</v>
      </c>
      <c r="L35" s="2"/>
      <c r="M35" s="2">
        <v>799477.76000000001</v>
      </c>
      <c r="N35" s="2">
        <v>164974.41</v>
      </c>
    </row>
    <row r="36" spans="1:14">
      <c r="A36" s="2" t="s">
        <v>30</v>
      </c>
      <c r="B36" s="3">
        <v>45717</v>
      </c>
      <c r="C36" s="2" t="s">
        <v>20</v>
      </c>
      <c r="D36" s="2" t="s">
        <v>16</v>
      </c>
      <c r="E36" s="2">
        <v>74413.88</v>
      </c>
      <c r="F36" s="2">
        <v>9449</v>
      </c>
      <c r="G36" s="2">
        <v>3.9E-2</v>
      </c>
      <c r="H36" s="2">
        <v>23</v>
      </c>
      <c r="I36" s="2">
        <v>92.1</v>
      </c>
      <c r="J36" s="2">
        <v>2.12</v>
      </c>
      <c r="K36" s="2">
        <v>0</v>
      </c>
      <c r="L36" s="2">
        <v>3.5</v>
      </c>
      <c r="M36" s="2">
        <v>798952.17</v>
      </c>
      <c r="N36" s="2">
        <v>161499.04</v>
      </c>
    </row>
    <row r="37" spans="1:14">
      <c r="A37" s="2" t="s">
        <v>30</v>
      </c>
      <c r="B37" s="3">
        <v>45748</v>
      </c>
      <c r="C37" s="2" t="s">
        <v>20</v>
      </c>
      <c r="D37" s="2" t="s">
        <v>16</v>
      </c>
      <c r="E37" s="2">
        <v>52483.77</v>
      </c>
      <c r="F37" s="2">
        <v>10453</v>
      </c>
      <c r="G37" s="2">
        <v>0.247</v>
      </c>
      <c r="H37" s="2">
        <v>25</v>
      </c>
      <c r="I37" s="2">
        <v>99</v>
      </c>
      <c r="J37" s="2">
        <v>6.31</v>
      </c>
      <c r="K37" s="2">
        <v>0</v>
      </c>
      <c r="L37" s="2">
        <v>3.6</v>
      </c>
      <c r="M37" s="2">
        <v>800979.78</v>
      </c>
      <c r="N37" s="2">
        <v>149242.26999999999</v>
      </c>
    </row>
    <row r="38" spans="1:14">
      <c r="A38" s="2" t="s">
        <v>31</v>
      </c>
      <c r="B38" s="3">
        <v>45658</v>
      </c>
      <c r="C38" s="2" t="s">
        <v>20</v>
      </c>
      <c r="D38" s="2" t="s">
        <v>28</v>
      </c>
      <c r="E38" s="2">
        <v>75269.87</v>
      </c>
      <c r="F38" s="2">
        <v>8838</v>
      </c>
      <c r="G38" s="2">
        <v>9.1999999999999998E-2</v>
      </c>
      <c r="H38" s="2">
        <v>21</v>
      </c>
      <c r="I38" s="2">
        <v>83.1</v>
      </c>
      <c r="J38" s="2">
        <v>9.56</v>
      </c>
      <c r="K38" s="2">
        <v>1</v>
      </c>
      <c r="L38" s="2">
        <v>4.2</v>
      </c>
      <c r="M38" s="2">
        <v>820593.93</v>
      </c>
      <c r="N38" s="2">
        <v>115860.06</v>
      </c>
    </row>
    <row r="39" spans="1:14">
      <c r="A39" s="2" t="s">
        <v>31</v>
      </c>
      <c r="B39" s="3">
        <v>45689</v>
      </c>
      <c r="C39" s="2" t="s">
        <v>20</v>
      </c>
      <c r="D39" s="2" t="s">
        <v>28</v>
      </c>
      <c r="E39" s="2">
        <v>61245.41</v>
      </c>
      <c r="F39" s="2">
        <v>8156</v>
      </c>
      <c r="G39" s="2">
        <v>0.156</v>
      </c>
      <c r="H39" s="2">
        <v>19</v>
      </c>
      <c r="I39" s="2">
        <v>92.9</v>
      </c>
      <c r="J39" s="2">
        <v>9.0500000000000007</v>
      </c>
      <c r="K39" s="2">
        <v>0</v>
      </c>
      <c r="L39" s="2">
        <v>3.8</v>
      </c>
      <c r="M39" s="2">
        <v>718330.53</v>
      </c>
      <c r="N39" s="2">
        <v>93247.9</v>
      </c>
    </row>
    <row r="40" spans="1:14">
      <c r="A40" s="2" t="s">
        <v>31</v>
      </c>
      <c r="B40" s="3">
        <v>45717</v>
      </c>
      <c r="C40" s="2" t="s">
        <v>20</v>
      </c>
      <c r="D40" s="2" t="s">
        <v>28</v>
      </c>
      <c r="E40" s="2">
        <v>93381.26</v>
      </c>
      <c r="F40" s="2">
        <v>7562</v>
      </c>
      <c r="G40" s="2">
        <v>0.19800000000000001</v>
      </c>
      <c r="H40" s="2">
        <v>19</v>
      </c>
      <c r="I40" s="2">
        <v>82.9</v>
      </c>
      <c r="J40" s="2">
        <v>5.05</v>
      </c>
      <c r="K40" s="2">
        <v>0</v>
      </c>
      <c r="L40" s="2">
        <v>4</v>
      </c>
      <c r="M40" s="2">
        <v>736633.4</v>
      </c>
      <c r="N40" s="2">
        <v>115654.66</v>
      </c>
    </row>
    <row r="41" spans="1:14">
      <c r="A41" s="2" t="s">
        <v>31</v>
      </c>
      <c r="B41" s="3">
        <v>45748</v>
      </c>
      <c r="C41" s="2" t="s">
        <v>20</v>
      </c>
      <c r="D41" s="2" t="s">
        <v>28</v>
      </c>
      <c r="E41" s="2">
        <v>65012.19</v>
      </c>
      <c r="F41" s="2">
        <v>9598</v>
      </c>
      <c r="G41" s="2">
        <v>8.5000000000000006E-2</v>
      </c>
      <c r="H41" s="2">
        <v>24</v>
      </c>
      <c r="I41" s="2">
        <v>98.3</v>
      </c>
      <c r="J41" s="2">
        <v>0.89</v>
      </c>
      <c r="K41" s="2">
        <v>0</v>
      </c>
      <c r="L41" s="2">
        <v>3.8</v>
      </c>
      <c r="M41" s="2">
        <v>828623.85</v>
      </c>
      <c r="N41" s="2">
        <v>167320.51999999999</v>
      </c>
    </row>
    <row r="42" spans="1:14">
      <c r="A42" s="2" t="s">
        <v>32</v>
      </c>
      <c r="B42" s="3">
        <v>45658</v>
      </c>
      <c r="C42" s="2" t="s">
        <v>15</v>
      </c>
      <c r="D42" s="2" t="s">
        <v>28</v>
      </c>
      <c r="E42" s="2">
        <v>40462.94</v>
      </c>
      <c r="F42" s="2">
        <v>3660</v>
      </c>
      <c r="G42" s="2">
        <v>0.218</v>
      </c>
      <c r="H42" s="2">
        <v>11</v>
      </c>
      <c r="I42" s="2">
        <v>95.2</v>
      </c>
      <c r="J42" s="2">
        <v>5.57</v>
      </c>
      <c r="K42" s="2">
        <v>0</v>
      </c>
      <c r="L42" s="2">
        <v>4.4000000000000004</v>
      </c>
      <c r="M42" s="2">
        <v>592195.85</v>
      </c>
      <c r="N42" s="2">
        <v>92291.56</v>
      </c>
    </row>
    <row r="43" spans="1:14">
      <c r="A43" s="2" t="s">
        <v>32</v>
      </c>
      <c r="B43" s="3">
        <v>45689</v>
      </c>
      <c r="C43" s="2" t="s">
        <v>15</v>
      </c>
      <c r="D43" s="2" t="s">
        <v>28</v>
      </c>
      <c r="E43" s="2">
        <v>46123.88</v>
      </c>
      <c r="F43" s="2">
        <v>3227</v>
      </c>
      <c r="G43" s="2">
        <v>0.14299999999999999</v>
      </c>
      <c r="H43" s="2">
        <v>10</v>
      </c>
      <c r="I43" s="2">
        <v>75.400000000000006</v>
      </c>
      <c r="J43" s="2">
        <v>1.06</v>
      </c>
      <c r="K43" s="2">
        <v>0</v>
      </c>
      <c r="L43" s="2">
        <v>4.4000000000000004</v>
      </c>
      <c r="M43" s="2">
        <v>532644.46</v>
      </c>
      <c r="N43" s="2">
        <v>60681.32</v>
      </c>
    </row>
    <row r="44" spans="1:14">
      <c r="A44" s="2" t="s">
        <v>32</v>
      </c>
      <c r="B44" s="3">
        <v>45717</v>
      </c>
      <c r="C44" s="2" t="s">
        <v>15</v>
      </c>
      <c r="D44" s="2" t="s">
        <v>28</v>
      </c>
      <c r="E44" s="2">
        <v>68077.539999999994</v>
      </c>
      <c r="F44" s="2">
        <v>3360</v>
      </c>
      <c r="G44" s="2">
        <v>0.128</v>
      </c>
      <c r="H44" s="2">
        <v>14</v>
      </c>
      <c r="I44" s="2">
        <v>88.2</v>
      </c>
      <c r="J44" s="2">
        <v>1.24</v>
      </c>
      <c r="K44" s="2">
        <v>1</v>
      </c>
      <c r="L44" s="2">
        <v>4</v>
      </c>
      <c r="M44" s="2">
        <v>657429.18000000005</v>
      </c>
      <c r="N44" s="2">
        <v>88919.74</v>
      </c>
    </row>
    <row r="45" spans="1:14">
      <c r="A45" s="2" t="s">
        <v>32</v>
      </c>
      <c r="B45" s="3">
        <v>45748</v>
      </c>
      <c r="C45" s="2" t="s">
        <v>15</v>
      </c>
      <c r="D45" s="2" t="s">
        <v>28</v>
      </c>
      <c r="E45" s="2">
        <v>64882.14</v>
      </c>
      <c r="F45" s="2">
        <v>3642</v>
      </c>
      <c r="G45" s="2">
        <v>1.9E-2</v>
      </c>
      <c r="H45" s="2">
        <v>13</v>
      </c>
      <c r="I45" s="2">
        <v>87.8</v>
      </c>
      <c r="J45" s="2">
        <v>4.5199999999999996</v>
      </c>
      <c r="K45" s="2">
        <v>0</v>
      </c>
      <c r="L45" s="2">
        <v>4.2</v>
      </c>
      <c r="M45" s="2">
        <v>605178</v>
      </c>
      <c r="N45" s="2">
        <v>106958.74</v>
      </c>
    </row>
    <row r="46" spans="1:14">
      <c r="A46" s="2" t="s">
        <v>33</v>
      </c>
      <c r="B46" s="3">
        <v>45658</v>
      </c>
      <c r="C46" s="2" t="s">
        <v>27</v>
      </c>
      <c r="D46" s="2" t="s">
        <v>16</v>
      </c>
      <c r="E46" s="2">
        <v>138855.51</v>
      </c>
      <c r="F46" s="2">
        <v>5145</v>
      </c>
      <c r="G46" s="2">
        <v>0.06</v>
      </c>
      <c r="H46" s="2">
        <v>17</v>
      </c>
      <c r="I46" s="2">
        <v>88.2</v>
      </c>
      <c r="J46" s="2">
        <v>9.58</v>
      </c>
      <c r="K46" s="2">
        <v>0</v>
      </c>
      <c r="L46" s="2">
        <v>3.2</v>
      </c>
      <c r="M46" s="2">
        <v>595467.6</v>
      </c>
      <c r="N46" s="2">
        <v>104276.46</v>
      </c>
    </row>
    <row r="47" spans="1:14">
      <c r="A47" s="2" t="s">
        <v>33</v>
      </c>
      <c r="B47" s="3">
        <v>45689</v>
      </c>
      <c r="C47" s="2" t="s">
        <v>27</v>
      </c>
      <c r="D47" s="2" t="s">
        <v>16</v>
      </c>
      <c r="E47" s="2">
        <v>63630.21</v>
      </c>
      <c r="F47" s="2">
        <v>4460</v>
      </c>
      <c r="G47" s="2">
        <v>0.23499999999999999</v>
      </c>
      <c r="H47" s="2">
        <v>14</v>
      </c>
      <c r="I47" s="2">
        <v>98.6</v>
      </c>
      <c r="J47" s="2">
        <v>5.52</v>
      </c>
      <c r="K47" s="2">
        <v>0</v>
      </c>
      <c r="L47" s="2">
        <v>3.5</v>
      </c>
      <c r="M47" s="2">
        <v>599603.4</v>
      </c>
      <c r="N47" s="2">
        <v>112685.12</v>
      </c>
    </row>
    <row r="48" spans="1:14">
      <c r="A48" s="2" t="s">
        <v>33</v>
      </c>
      <c r="B48" s="3">
        <v>45717</v>
      </c>
      <c r="C48" s="2" t="s">
        <v>27</v>
      </c>
      <c r="D48" s="2" t="s">
        <v>16</v>
      </c>
      <c r="E48" s="2">
        <v>50043.65</v>
      </c>
      <c r="F48" s="2">
        <v>3804</v>
      </c>
      <c r="G48" s="2">
        <v>0.113</v>
      </c>
      <c r="H48" s="2">
        <v>11</v>
      </c>
      <c r="I48" s="2">
        <v>90.9</v>
      </c>
      <c r="J48" s="2">
        <v>2.7</v>
      </c>
      <c r="K48" s="2">
        <v>1</v>
      </c>
      <c r="L48" s="2">
        <v>3.2</v>
      </c>
      <c r="M48" s="2">
        <v>614800.09</v>
      </c>
      <c r="N48" s="2">
        <v>100044.2</v>
      </c>
    </row>
    <row r="49" spans="1:14">
      <c r="A49" s="2" t="s">
        <v>33</v>
      </c>
      <c r="B49" s="3">
        <v>45748</v>
      </c>
      <c r="C49" s="2" t="s">
        <v>27</v>
      </c>
      <c r="D49" s="2" t="s">
        <v>16</v>
      </c>
      <c r="E49" s="2">
        <v>42093.84</v>
      </c>
      <c r="F49" s="2">
        <v>4074</v>
      </c>
      <c r="G49" s="2">
        <v>0.155</v>
      </c>
      <c r="H49" s="2">
        <v>15</v>
      </c>
      <c r="I49" s="2">
        <v>88</v>
      </c>
      <c r="J49" s="2">
        <v>9.64</v>
      </c>
      <c r="K49" s="2">
        <v>0</v>
      </c>
      <c r="L49" s="2">
        <v>3.3</v>
      </c>
      <c r="M49" s="2">
        <v>585365.73</v>
      </c>
      <c r="N49" s="2">
        <v>81011.520000000004</v>
      </c>
    </row>
    <row r="50" spans="1:14">
      <c r="A50" s="2" t="s">
        <v>34</v>
      </c>
      <c r="B50" s="3">
        <v>45658</v>
      </c>
      <c r="C50" s="2" t="s">
        <v>20</v>
      </c>
      <c r="D50" s="2" t="s">
        <v>28</v>
      </c>
      <c r="E50" s="2">
        <v>46624.05</v>
      </c>
      <c r="F50" s="2">
        <v>5104</v>
      </c>
      <c r="G50" s="2">
        <v>0.109</v>
      </c>
      <c r="H50" s="2">
        <v>11</v>
      </c>
      <c r="I50" s="2">
        <v>97.3</v>
      </c>
      <c r="J50" s="2">
        <v>3.49</v>
      </c>
      <c r="K50" s="2">
        <v>1</v>
      </c>
      <c r="L50" s="2">
        <v>4.7</v>
      </c>
      <c r="M50" s="2">
        <v>622811.74</v>
      </c>
      <c r="N50" s="2">
        <v>109978.35</v>
      </c>
    </row>
    <row r="51" spans="1:14">
      <c r="A51" s="2" t="s">
        <v>34</v>
      </c>
      <c r="B51" s="3">
        <v>45689</v>
      </c>
      <c r="C51" s="2" t="s">
        <v>20</v>
      </c>
      <c r="D51" s="2" t="s">
        <v>28</v>
      </c>
      <c r="E51" s="2">
        <v>49710.29</v>
      </c>
      <c r="F51" s="2">
        <v>5559</v>
      </c>
      <c r="G51" s="2">
        <v>0.218</v>
      </c>
      <c r="H51" s="2">
        <v>14</v>
      </c>
      <c r="I51" s="2">
        <v>71</v>
      </c>
      <c r="J51" s="2">
        <v>9.11</v>
      </c>
      <c r="K51" s="2">
        <v>0</v>
      </c>
      <c r="L51" s="2">
        <v>4.5999999999999996</v>
      </c>
      <c r="M51" s="2">
        <v>603297.56999999995</v>
      </c>
      <c r="N51" s="2">
        <v>60592.26</v>
      </c>
    </row>
    <row r="52" spans="1:14">
      <c r="A52" s="2" t="s">
        <v>34</v>
      </c>
      <c r="B52" s="3">
        <v>45717</v>
      </c>
      <c r="C52" s="2" t="s">
        <v>20</v>
      </c>
      <c r="D52" s="2" t="s">
        <v>28</v>
      </c>
      <c r="E52" s="2">
        <v>48287.85</v>
      </c>
      <c r="F52" s="2">
        <v>5150</v>
      </c>
      <c r="G52" s="2">
        <v>8.0000000000000002E-3</v>
      </c>
      <c r="H52" s="2">
        <v>12</v>
      </c>
      <c r="I52" s="2">
        <v>80.400000000000006</v>
      </c>
      <c r="J52" s="2">
        <v>7.4</v>
      </c>
      <c r="K52" s="2">
        <v>0</v>
      </c>
      <c r="L52" s="2">
        <v>4.5</v>
      </c>
      <c r="M52" s="2">
        <v>625672.86</v>
      </c>
      <c r="N52" s="2">
        <v>118020.12</v>
      </c>
    </row>
    <row r="53" spans="1:14">
      <c r="A53" s="2" t="s">
        <v>34</v>
      </c>
      <c r="B53" s="3">
        <v>45748</v>
      </c>
      <c r="C53" s="2" t="s">
        <v>20</v>
      </c>
      <c r="D53" s="2" t="s">
        <v>28</v>
      </c>
      <c r="E53" s="2">
        <v>65312.49</v>
      </c>
      <c r="F53" s="2">
        <v>7189</v>
      </c>
      <c r="G53" s="2">
        <v>0.05</v>
      </c>
      <c r="H53" s="2">
        <v>19</v>
      </c>
      <c r="I53" s="2">
        <v>93.7</v>
      </c>
      <c r="J53" s="2">
        <v>7.16</v>
      </c>
      <c r="K53" s="2">
        <v>0</v>
      </c>
      <c r="L53" s="2">
        <v>4.5999999999999996</v>
      </c>
      <c r="M53" s="2">
        <v>773815.14</v>
      </c>
      <c r="N53" s="2">
        <v>133948.39000000001</v>
      </c>
    </row>
    <row r="54" spans="1:14">
      <c r="A54" s="2" t="s">
        <v>35</v>
      </c>
      <c r="B54" s="3">
        <v>45658</v>
      </c>
      <c r="C54" s="2" t="s">
        <v>27</v>
      </c>
      <c r="D54" s="2" t="s">
        <v>18</v>
      </c>
      <c r="E54" s="2">
        <v>53015.46</v>
      </c>
      <c r="F54" s="2">
        <v>3279</v>
      </c>
      <c r="G54" s="2">
        <v>8.6999999999999994E-2</v>
      </c>
      <c r="H54" s="2">
        <v>9</v>
      </c>
      <c r="I54" s="2">
        <v>84.3</v>
      </c>
      <c r="J54" s="2">
        <v>22.02</v>
      </c>
      <c r="K54" s="2">
        <v>0</v>
      </c>
      <c r="L54" s="2">
        <v>3.9</v>
      </c>
      <c r="M54" s="2">
        <v>463534.25</v>
      </c>
      <c r="N54" s="2">
        <v>81834.539999999994</v>
      </c>
    </row>
    <row r="55" spans="1:14">
      <c r="A55" s="2" t="s">
        <v>35</v>
      </c>
      <c r="B55" s="3">
        <v>45689</v>
      </c>
      <c r="C55" s="2" t="s">
        <v>27</v>
      </c>
      <c r="D55" s="2" t="s">
        <v>18</v>
      </c>
      <c r="E55" s="2">
        <v>99874.01</v>
      </c>
      <c r="F55" s="2">
        <v>5887</v>
      </c>
      <c r="G55" s="2">
        <v>0.26200000000000001</v>
      </c>
      <c r="H55" s="2">
        <v>14</v>
      </c>
      <c r="I55" s="2">
        <v>88.7</v>
      </c>
      <c r="J55" s="2">
        <v>6.18</v>
      </c>
      <c r="K55" s="2">
        <v>0</v>
      </c>
      <c r="L55" s="2">
        <v>4.7</v>
      </c>
      <c r="M55" s="2">
        <v>746677.75</v>
      </c>
      <c r="N55" s="2">
        <v>122437.84</v>
      </c>
    </row>
    <row r="56" spans="1:14">
      <c r="A56" s="2" t="s">
        <v>35</v>
      </c>
      <c r="B56" s="3">
        <v>45717</v>
      </c>
      <c r="C56" s="2" t="s">
        <v>27</v>
      </c>
      <c r="D56" s="2" t="s">
        <v>18</v>
      </c>
      <c r="E56" s="2">
        <v>81195.5</v>
      </c>
      <c r="F56" s="2">
        <v>5516</v>
      </c>
      <c r="G56" s="2">
        <v>0.106</v>
      </c>
      <c r="H56" s="2">
        <v>14</v>
      </c>
      <c r="I56" s="2">
        <v>88</v>
      </c>
      <c r="J56" s="2">
        <v>1.76</v>
      </c>
      <c r="K56" s="2">
        <v>0</v>
      </c>
      <c r="L56" s="2">
        <v>4.3</v>
      </c>
      <c r="M56" s="2">
        <v>720852.5</v>
      </c>
      <c r="N56" s="2">
        <v>98565.62</v>
      </c>
    </row>
    <row r="57" spans="1:14">
      <c r="A57" s="2" t="s">
        <v>35</v>
      </c>
      <c r="B57" s="3">
        <v>45748</v>
      </c>
      <c r="C57" s="2" t="s">
        <v>27</v>
      </c>
      <c r="D57" s="2" t="s">
        <v>18</v>
      </c>
      <c r="E57" s="2">
        <v>27808.6</v>
      </c>
      <c r="F57" s="2">
        <v>2863</v>
      </c>
      <c r="G57" s="2">
        <v>0.08</v>
      </c>
      <c r="H57" s="2">
        <v>13</v>
      </c>
      <c r="I57" s="2">
        <v>89.3</v>
      </c>
      <c r="J57" s="2">
        <v>0.47</v>
      </c>
      <c r="K57" s="2">
        <v>0</v>
      </c>
      <c r="L57" s="2">
        <v>4.0999999999999996</v>
      </c>
      <c r="M57" s="2">
        <v>487464.91</v>
      </c>
      <c r="N57" s="2">
        <v>64562.26</v>
      </c>
    </row>
    <row r="58" spans="1:14">
      <c r="A58" s="2" t="s">
        <v>36</v>
      </c>
      <c r="B58" s="3">
        <v>45658</v>
      </c>
      <c r="C58" s="2" t="s">
        <v>15</v>
      </c>
      <c r="D58" s="2" t="s">
        <v>21</v>
      </c>
      <c r="E58" s="2">
        <v>19365.060000000001</v>
      </c>
      <c r="F58" s="2">
        <v>2378</v>
      </c>
      <c r="G58" s="2">
        <v>0</v>
      </c>
      <c r="H58" s="2">
        <v>12</v>
      </c>
      <c r="I58" s="2">
        <v>94.8</v>
      </c>
      <c r="J58" s="2">
        <v>0.2</v>
      </c>
      <c r="K58" s="2">
        <v>0</v>
      </c>
      <c r="L58" s="2">
        <v>3.5</v>
      </c>
      <c r="M58" s="2">
        <v>518049.26</v>
      </c>
      <c r="N58" s="2">
        <v>108592.49</v>
      </c>
    </row>
    <row r="59" spans="1:14">
      <c r="A59" s="2" t="s">
        <v>36</v>
      </c>
      <c r="B59" s="3">
        <v>45689</v>
      </c>
      <c r="C59" s="2" t="s">
        <v>15</v>
      </c>
      <c r="D59" s="2" t="s">
        <v>21</v>
      </c>
      <c r="E59" s="2">
        <v>59405.68</v>
      </c>
      <c r="F59" s="2">
        <v>2515</v>
      </c>
      <c r="G59" s="2">
        <v>3.9E-2</v>
      </c>
      <c r="H59" s="2">
        <v>12</v>
      </c>
      <c r="I59" s="2">
        <v>76</v>
      </c>
      <c r="J59" s="2">
        <v>5.1100000000000003</v>
      </c>
      <c r="K59" s="2">
        <v>0</v>
      </c>
      <c r="L59" s="2">
        <v>3.7</v>
      </c>
      <c r="M59" s="2">
        <v>500298.48</v>
      </c>
      <c r="N59" s="2">
        <v>73461.320000000007</v>
      </c>
    </row>
    <row r="60" spans="1:14">
      <c r="A60" s="2" t="s">
        <v>36</v>
      </c>
      <c r="B60" s="3">
        <v>45717</v>
      </c>
      <c r="C60" s="2" t="s">
        <v>15</v>
      </c>
      <c r="D60" s="2" t="s">
        <v>21</v>
      </c>
      <c r="E60" s="2">
        <v>118910.48</v>
      </c>
      <c r="F60" s="2">
        <v>4022</v>
      </c>
      <c r="G60" s="2">
        <v>0.13700000000000001</v>
      </c>
      <c r="H60" s="2">
        <v>11</v>
      </c>
      <c r="I60" s="2">
        <v>87.1</v>
      </c>
      <c r="J60" s="2">
        <v>0.2</v>
      </c>
      <c r="K60" s="2">
        <v>0</v>
      </c>
      <c r="L60" s="2">
        <v>3.1</v>
      </c>
      <c r="M60" s="2">
        <v>617291.15</v>
      </c>
      <c r="N60" s="2">
        <v>117782</v>
      </c>
    </row>
    <row r="61" spans="1:14">
      <c r="A61" s="2" t="s">
        <v>36</v>
      </c>
      <c r="B61" s="3">
        <v>45748</v>
      </c>
      <c r="C61" s="2" t="s">
        <v>15</v>
      </c>
      <c r="D61" s="2" t="s">
        <v>21</v>
      </c>
      <c r="E61" s="2">
        <v>52952.12</v>
      </c>
      <c r="F61" s="2">
        <v>4377</v>
      </c>
      <c r="G61" s="2">
        <v>9.1999999999999998E-2</v>
      </c>
      <c r="H61" s="2">
        <v>14</v>
      </c>
      <c r="I61" s="2">
        <v>88.6</v>
      </c>
      <c r="J61" s="2">
        <v>13.59</v>
      </c>
      <c r="K61" s="2">
        <v>0</v>
      </c>
      <c r="L61" s="2">
        <v>3.1</v>
      </c>
      <c r="M61" s="2">
        <v>553756.43000000005</v>
      </c>
      <c r="N61" s="2">
        <v>86166.77</v>
      </c>
    </row>
    <row r="62" spans="1:14">
      <c r="A62" s="2" t="s">
        <v>37</v>
      </c>
      <c r="B62" s="3">
        <v>45658</v>
      </c>
      <c r="C62" s="2" t="s">
        <v>24</v>
      </c>
      <c r="D62" s="2" t="s">
        <v>18</v>
      </c>
      <c r="E62" s="2">
        <v>74907.98</v>
      </c>
      <c r="F62" s="2">
        <v>5306</v>
      </c>
      <c r="G62" s="2">
        <v>6.2E-2</v>
      </c>
      <c r="H62" s="2">
        <v>16</v>
      </c>
      <c r="I62" s="2">
        <v>95.6</v>
      </c>
      <c r="J62" s="2">
        <v>1.02</v>
      </c>
      <c r="K62" s="2">
        <v>0</v>
      </c>
      <c r="L62" s="2">
        <v>3.7</v>
      </c>
      <c r="M62" s="2">
        <v>749559.71</v>
      </c>
      <c r="N62" s="2">
        <v>144522.53</v>
      </c>
    </row>
    <row r="63" spans="1:14">
      <c r="A63" s="2" t="s">
        <v>37</v>
      </c>
      <c r="B63" s="3">
        <v>45689</v>
      </c>
      <c r="C63" s="2" t="s">
        <v>24</v>
      </c>
      <c r="D63" s="2" t="s">
        <v>18</v>
      </c>
      <c r="E63" s="2">
        <v>37284.660000000003</v>
      </c>
      <c r="F63" s="2">
        <v>3928</v>
      </c>
      <c r="G63" s="2">
        <v>7.3999999999999996E-2</v>
      </c>
      <c r="H63" s="2">
        <v>12</v>
      </c>
      <c r="I63" s="2">
        <v>86.5</v>
      </c>
      <c r="J63" s="2">
        <v>1.64</v>
      </c>
      <c r="K63" s="2">
        <v>0</v>
      </c>
      <c r="L63" s="2">
        <v>3.8</v>
      </c>
      <c r="M63" s="2">
        <v>615966.48</v>
      </c>
      <c r="N63" s="2">
        <v>91509.38</v>
      </c>
    </row>
    <row r="64" spans="1:14">
      <c r="A64" s="2" t="s">
        <v>37</v>
      </c>
      <c r="B64" s="3">
        <v>45717</v>
      </c>
      <c r="C64" s="2" t="s">
        <v>24</v>
      </c>
      <c r="D64" s="2" t="s">
        <v>18</v>
      </c>
      <c r="E64" s="2">
        <v>50343.19</v>
      </c>
      <c r="F64" s="2">
        <v>3845</v>
      </c>
      <c r="G64" s="2">
        <v>0.113</v>
      </c>
      <c r="H64" s="2">
        <v>9</v>
      </c>
      <c r="I64" s="2">
        <v>88.7</v>
      </c>
      <c r="J64" s="2">
        <v>5.15</v>
      </c>
      <c r="K64" s="2">
        <v>0</v>
      </c>
      <c r="L64" s="2">
        <v>3.3</v>
      </c>
      <c r="M64" s="2">
        <v>572011.19999999995</v>
      </c>
      <c r="N64" s="2">
        <v>101409.68</v>
      </c>
    </row>
    <row r="65" spans="1:14">
      <c r="A65" s="2" t="s">
        <v>37</v>
      </c>
      <c r="B65" s="3">
        <v>45748</v>
      </c>
      <c r="C65" s="2" t="s">
        <v>24</v>
      </c>
      <c r="D65" s="2" t="s">
        <v>18</v>
      </c>
      <c r="E65" s="2">
        <v>74954.47</v>
      </c>
      <c r="F65" s="2">
        <v>6620</v>
      </c>
      <c r="G65" s="2">
        <v>5.3999999999999999E-2</v>
      </c>
      <c r="H65" s="2">
        <v>17</v>
      </c>
      <c r="I65" s="2">
        <v>91.1</v>
      </c>
      <c r="J65" s="2">
        <v>1.1100000000000001</v>
      </c>
      <c r="K65" s="2">
        <v>0</v>
      </c>
      <c r="L65" s="2">
        <v>3.5</v>
      </c>
      <c r="M65" s="2">
        <v>761860.19</v>
      </c>
      <c r="N65" s="2">
        <v>133279.38</v>
      </c>
    </row>
    <row r="66" spans="1:14">
      <c r="A66" s="2" t="s">
        <v>38</v>
      </c>
      <c r="B66" s="3">
        <v>45658</v>
      </c>
      <c r="C66" s="2" t="s">
        <v>27</v>
      </c>
      <c r="D66" s="2" t="s">
        <v>18</v>
      </c>
      <c r="E66" s="2">
        <v>70040.31</v>
      </c>
      <c r="F66" s="2">
        <v>9175</v>
      </c>
      <c r="G66" s="2">
        <v>0.107</v>
      </c>
      <c r="H66" s="2">
        <v>23</v>
      </c>
      <c r="I66" s="2">
        <v>95.1</v>
      </c>
      <c r="J66" s="2">
        <v>6.08</v>
      </c>
      <c r="K66" s="2">
        <v>1</v>
      </c>
      <c r="L66" s="2">
        <v>3.4</v>
      </c>
      <c r="M66" s="2">
        <v>784502.68</v>
      </c>
      <c r="N66" s="2">
        <v>129519.72</v>
      </c>
    </row>
    <row r="67" spans="1:14">
      <c r="A67" s="2" t="s">
        <v>38</v>
      </c>
      <c r="B67" s="3">
        <v>45689</v>
      </c>
      <c r="C67" s="2" t="s">
        <v>27</v>
      </c>
      <c r="D67" s="2" t="s">
        <v>18</v>
      </c>
      <c r="E67" s="2">
        <v>51148.69</v>
      </c>
      <c r="F67" s="2">
        <v>7940</v>
      </c>
      <c r="G67" s="2">
        <v>0.156</v>
      </c>
      <c r="H67" s="2">
        <v>18</v>
      </c>
      <c r="I67" s="2">
        <v>93.3</v>
      </c>
      <c r="J67" s="2">
        <v>10.91</v>
      </c>
      <c r="K67" s="2">
        <v>0</v>
      </c>
      <c r="L67" s="2">
        <v>3.6</v>
      </c>
      <c r="M67" s="2">
        <v>717141.55</v>
      </c>
      <c r="N67" s="2">
        <v>134013.60999999999</v>
      </c>
    </row>
    <row r="68" spans="1:14">
      <c r="A68" s="2" t="s">
        <v>38</v>
      </c>
      <c r="B68" s="3">
        <v>45717</v>
      </c>
      <c r="C68" s="2" t="s">
        <v>27</v>
      </c>
      <c r="D68" s="2" t="s">
        <v>18</v>
      </c>
      <c r="E68" s="2">
        <v>79346.100000000006</v>
      </c>
      <c r="F68" s="2">
        <v>9628</v>
      </c>
      <c r="G68" s="2">
        <v>0.10199999999999999</v>
      </c>
      <c r="H68" s="2">
        <v>20</v>
      </c>
      <c r="I68" s="2">
        <v>99</v>
      </c>
      <c r="J68" s="2">
        <v>19.010000000000002</v>
      </c>
      <c r="K68" s="2">
        <v>1</v>
      </c>
      <c r="L68" s="2">
        <v>3.2</v>
      </c>
      <c r="M68" s="2">
        <v>685379.08</v>
      </c>
      <c r="N68" s="2">
        <v>106898.82</v>
      </c>
    </row>
    <row r="69" spans="1:14">
      <c r="A69" s="2" t="s">
        <v>38</v>
      </c>
      <c r="B69" s="3">
        <v>45748</v>
      </c>
      <c r="C69" s="2" t="s">
        <v>27</v>
      </c>
      <c r="D69" s="2" t="s">
        <v>18</v>
      </c>
      <c r="E69" s="2">
        <v>42018.400000000001</v>
      </c>
      <c r="F69" s="2">
        <v>8296</v>
      </c>
      <c r="G69" s="2">
        <v>0.115</v>
      </c>
      <c r="H69" s="2">
        <v>17</v>
      </c>
      <c r="I69" s="2">
        <v>91.8</v>
      </c>
      <c r="J69" s="2">
        <v>0.77</v>
      </c>
      <c r="K69" s="2">
        <v>0</v>
      </c>
      <c r="L69" s="2">
        <v>3.4</v>
      </c>
      <c r="M69" s="2">
        <v>740496.65</v>
      </c>
      <c r="N69" s="2">
        <v>128020.9</v>
      </c>
    </row>
    <row r="70" spans="1:14">
      <c r="A70" s="2" t="s">
        <v>39</v>
      </c>
      <c r="B70" s="3">
        <v>45658</v>
      </c>
      <c r="C70" s="2" t="s">
        <v>15</v>
      </c>
      <c r="D70" s="2" t="s">
        <v>18</v>
      </c>
      <c r="E70" s="2">
        <v>70937.240000000005</v>
      </c>
      <c r="F70" s="2">
        <v>3595</v>
      </c>
      <c r="G70" s="2">
        <v>0.14099999999999999</v>
      </c>
      <c r="H70" s="2">
        <v>11</v>
      </c>
      <c r="I70" s="2">
        <v>88.9</v>
      </c>
      <c r="J70" s="2">
        <v>2.83</v>
      </c>
      <c r="K70" s="2">
        <v>1</v>
      </c>
      <c r="L70" s="2">
        <v>3.3</v>
      </c>
      <c r="M70" s="2">
        <v>661927.14</v>
      </c>
      <c r="N70" s="2">
        <v>79218.570000000007</v>
      </c>
    </row>
    <row r="71" spans="1:14">
      <c r="A71" s="2" t="s">
        <v>39</v>
      </c>
      <c r="B71" s="3">
        <v>45689</v>
      </c>
      <c r="C71" s="2" t="s">
        <v>15</v>
      </c>
      <c r="D71" s="2" t="s">
        <v>18</v>
      </c>
      <c r="E71" s="2">
        <v>36813.449999999997</v>
      </c>
      <c r="F71" s="2">
        <v>2834</v>
      </c>
      <c r="G71" s="2">
        <v>0.191</v>
      </c>
      <c r="H71" s="2">
        <v>11</v>
      </c>
      <c r="I71" s="2">
        <v>81.8</v>
      </c>
      <c r="J71" s="2">
        <v>2.33</v>
      </c>
      <c r="K71" s="2">
        <v>0</v>
      </c>
      <c r="L71" s="2">
        <v>3.3</v>
      </c>
      <c r="M71" s="2">
        <v>479050.5</v>
      </c>
      <c r="N71" s="2">
        <v>53651.11</v>
      </c>
    </row>
    <row r="72" spans="1:14">
      <c r="A72" s="2" t="s">
        <v>39</v>
      </c>
      <c r="B72" s="3">
        <v>45717</v>
      </c>
      <c r="C72" s="2" t="s">
        <v>15</v>
      </c>
      <c r="D72" s="2" t="s">
        <v>18</v>
      </c>
      <c r="E72" s="2">
        <v>60571.82</v>
      </c>
      <c r="F72" s="2">
        <v>3193</v>
      </c>
      <c r="G72" s="2">
        <v>0.19700000000000001</v>
      </c>
      <c r="H72" s="2">
        <v>7</v>
      </c>
      <c r="I72" s="2">
        <v>99</v>
      </c>
      <c r="J72" s="2">
        <v>1.43</v>
      </c>
      <c r="K72" s="2">
        <v>0</v>
      </c>
      <c r="L72" s="2">
        <v>3.2</v>
      </c>
      <c r="M72" s="2">
        <v>605023.87</v>
      </c>
      <c r="N72" s="2">
        <v>98545.81</v>
      </c>
    </row>
    <row r="73" spans="1:14">
      <c r="A73" s="2" t="s">
        <v>39</v>
      </c>
      <c r="B73" s="3">
        <v>45748</v>
      </c>
      <c r="C73" s="2" t="s">
        <v>15</v>
      </c>
      <c r="D73" s="2" t="s">
        <v>18</v>
      </c>
      <c r="E73" s="2">
        <v>55081.16</v>
      </c>
      <c r="F73" s="2">
        <v>5485</v>
      </c>
      <c r="G73" s="2">
        <v>3.5999999999999997E-2</v>
      </c>
      <c r="H73" s="2">
        <v>12</v>
      </c>
      <c r="I73" s="2">
        <v>88</v>
      </c>
      <c r="J73" s="2"/>
      <c r="K73" s="2">
        <v>0</v>
      </c>
      <c r="L73" s="2">
        <v>3.5</v>
      </c>
      <c r="M73" s="2">
        <v>674774.09</v>
      </c>
      <c r="N73" s="2">
        <v>141917.59</v>
      </c>
    </row>
    <row r="74" spans="1:14">
      <c r="A74" s="2" t="s">
        <v>40</v>
      </c>
      <c r="B74" s="3">
        <v>45658</v>
      </c>
      <c r="C74" s="2" t="s">
        <v>15</v>
      </c>
      <c r="D74" s="2" t="s">
        <v>16</v>
      </c>
      <c r="E74" s="2">
        <v>46201.46</v>
      </c>
      <c r="F74" s="2">
        <v>5918</v>
      </c>
      <c r="G74" s="2">
        <v>0.27700000000000002</v>
      </c>
      <c r="H74" s="2">
        <v>13</v>
      </c>
      <c r="I74" s="2">
        <v>78.8</v>
      </c>
      <c r="J74" s="2">
        <v>4.91</v>
      </c>
      <c r="K74" s="2">
        <v>0</v>
      </c>
      <c r="L74" s="2">
        <v>4.5</v>
      </c>
      <c r="M74" s="2">
        <v>616069.41</v>
      </c>
      <c r="N74" s="2">
        <v>54453.99</v>
      </c>
    </row>
    <row r="75" spans="1:14">
      <c r="A75" s="2" t="s">
        <v>40</v>
      </c>
      <c r="B75" s="3">
        <v>45689</v>
      </c>
      <c r="C75" s="2" t="s">
        <v>15</v>
      </c>
      <c r="D75" s="2" t="s">
        <v>16</v>
      </c>
      <c r="E75" s="2">
        <v>53762.92</v>
      </c>
      <c r="F75" s="2">
        <v>6821</v>
      </c>
      <c r="G75" s="2">
        <v>6.6000000000000003E-2</v>
      </c>
      <c r="H75" s="2">
        <v>19</v>
      </c>
      <c r="I75" s="2">
        <v>94.6</v>
      </c>
      <c r="J75" s="2">
        <v>7.03</v>
      </c>
      <c r="K75" s="2">
        <v>0</v>
      </c>
      <c r="L75" s="2">
        <v>4.4000000000000004</v>
      </c>
      <c r="M75" s="2">
        <v>630829.93999999994</v>
      </c>
      <c r="N75" s="2">
        <v>117090.02</v>
      </c>
    </row>
    <row r="76" spans="1:14">
      <c r="A76" s="2" t="s">
        <v>40</v>
      </c>
      <c r="B76" s="3">
        <v>45717</v>
      </c>
      <c r="C76" s="2" t="s">
        <v>15</v>
      </c>
      <c r="D76" s="2" t="s">
        <v>16</v>
      </c>
      <c r="E76" s="2">
        <v>70144.78</v>
      </c>
      <c r="F76" s="2">
        <v>6806</v>
      </c>
      <c r="G76" s="2">
        <v>0.17799999999999999</v>
      </c>
      <c r="H76" s="2">
        <v>20</v>
      </c>
      <c r="I76" s="2">
        <v>93.1</v>
      </c>
      <c r="J76" s="2">
        <v>0.28000000000000003</v>
      </c>
      <c r="K76" s="2">
        <v>1</v>
      </c>
      <c r="L76" s="2">
        <v>4.3</v>
      </c>
      <c r="M76" s="2">
        <v>788087.68</v>
      </c>
      <c r="N76" s="2">
        <v>116803.42</v>
      </c>
    </row>
    <row r="77" spans="1:14">
      <c r="A77" s="2" t="s">
        <v>40</v>
      </c>
      <c r="B77" s="3">
        <v>45748</v>
      </c>
      <c r="C77" s="2" t="s">
        <v>15</v>
      </c>
      <c r="D77" s="2" t="s">
        <v>16</v>
      </c>
      <c r="E77" s="2">
        <v>58749.63</v>
      </c>
      <c r="F77" s="2">
        <v>8252</v>
      </c>
      <c r="G77" s="2">
        <v>0.20300000000000001</v>
      </c>
      <c r="H77" s="2">
        <v>20</v>
      </c>
      <c r="I77" s="2">
        <v>85.2</v>
      </c>
      <c r="J77" s="2">
        <v>3.61</v>
      </c>
      <c r="K77" s="2">
        <v>0</v>
      </c>
      <c r="L77" s="2">
        <v>4.5</v>
      </c>
      <c r="M77" s="2">
        <v>680840.36</v>
      </c>
      <c r="N77" s="2">
        <v>68007.679999999993</v>
      </c>
    </row>
    <row r="78" spans="1:14">
      <c r="A78" s="2" t="s">
        <v>41</v>
      </c>
      <c r="B78" s="3">
        <v>45658</v>
      </c>
      <c r="C78" s="2" t="s">
        <v>24</v>
      </c>
      <c r="D78" s="2" t="s">
        <v>18</v>
      </c>
      <c r="E78" s="2">
        <v>56973.18</v>
      </c>
      <c r="F78" s="2">
        <v>6662</v>
      </c>
      <c r="G78" s="2">
        <v>0.1</v>
      </c>
      <c r="H78" s="2">
        <v>15</v>
      </c>
      <c r="I78" s="2">
        <v>77.7</v>
      </c>
      <c r="J78" s="2">
        <v>7.52</v>
      </c>
      <c r="K78" s="2">
        <v>1</v>
      </c>
      <c r="L78" s="2">
        <v>3.2</v>
      </c>
      <c r="M78" s="2">
        <v>643657.47</v>
      </c>
      <c r="N78" s="2">
        <v>87022.45</v>
      </c>
    </row>
    <row r="79" spans="1:14">
      <c r="A79" s="2" t="s">
        <v>41</v>
      </c>
      <c r="B79" s="3">
        <v>45689</v>
      </c>
      <c r="C79" s="2" t="s">
        <v>24</v>
      </c>
      <c r="D79" s="2" t="s">
        <v>18</v>
      </c>
      <c r="E79" s="2">
        <v>54872.82</v>
      </c>
      <c r="F79" s="2">
        <v>5962</v>
      </c>
      <c r="G79" s="2">
        <v>6.4000000000000001E-2</v>
      </c>
      <c r="H79" s="2">
        <v>12</v>
      </c>
      <c r="I79" s="2">
        <v>85.4</v>
      </c>
      <c r="J79" s="2">
        <v>2.58</v>
      </c>
      <c r="K79" s="2">
        <v>0</v>
      </c>
      <c r="L79" s="2">
        <v>2.9</v>
      </c>
      <c r="M79" s="2">
        <v>691112.6</v>
      </c>
      <c r="N79" s="2">
        <v>109212.83</v>
      </c>
    </row>
    <row r="80" spans="1:14">
      <c r="A80" s="2" t="s">
        <v>41</v>
      </c>
      <c r="B80" s="3">
        <v>45717</v>
      </c>
      <c r="C80" s="2" t="s">
        <v>24</v>
      </c>
      <c r="D80" s="2" t="s">
        <v>18</v>
      </c>
      <c r="E80" s="2">
        <v>80562.81</v>
      </c>
      <c r="F80" s="2">
        <v>7470</v>
      </c>
      <c r="G80" s="2">
        <v>0.17199999999999999</v>
      </c>
      <c r="H80" s="2">
        <v>16</v>
      </c>
      <c r="I80" s="2">
        <v>83.5</v>
      </c>
      <c r="J80" s="2">
        <v>2.29</v>
      </c>
      <c r="K80" s="2">
        <v>0</v>
      </c>
      <c r="L80" s="2">
        <v>3.3</v>
      </c>
      <c r="M80" s="2">
        <v>776922.17</v>
      </c>
      <c r="N80" s="2">
        <v>150701.93</v>
      </c>
    </row>
    <row r="81" spans="1:14">
      <c r="A81" s="2" t="s">
        <v>41</v>
      </c>
      <c r="B81" s="3">
        <v>45748</v>
      </c>
      <c r="C81" s="2" t="s">
        <v>24</v>
      </c>
      <c r="D81" s="2" t="s">
        <v>18</v>
      </c>
      <c r="E81" s="2">
        <v>77999.899999999994</v>
      </c>
      <c r="F81" s="2">
        <v>5974</v>
      </c>
      <c r="G81" s="2">
        <v>0.252</v>
      </c>
      <c r="H81" s="2">
        <v>14</v>
      </c>
      <c r="I81" s="2">
        <v>81.3</v>
      </c>
      <c r="J81" s="2">
        <v>2.39</v>
      </c>
      <c r="K81" s="2">
        <v>0</v>
      </c>
      <c r="L81" s="2">
        <v>3.2</v>
      </c>
      <c r="M81" s="2">
        <v>636561.34</v>
      </c>
      <c r="N81" s="2">
        <v>93861.06</v>
      </c>
    </row>
    <row r="82" spans="1:14">
      <c r="A82" s="2" t="s">
        <v>42</v>
      </c>
      <c r="B82" s="3">
        <v>45658</v>
      </c>
      <c r="C82" s="2" t="s">
        <v>27</v>
      </c>
      <c r="D82" s="2" t="s">
        <v>28</v>
      </c>
      <c r="E82" s="2">
        <v>60881.01</v>
      </c>
      <c r="F82" s="2">
        <v>5410</v>
      </c>
      <c r="G82" s="2">
        <v>0.17899999999999999</v>
      </c>
      <c r="H82" s="2">
        <v>15</v>
      </c>
      <c r="I82" s="2">
        <v>83.9</v>
      </c>
      <c r="J82" s="2">
        <v>5.24</v>
      </c>
      <c r="K82" s="2">
        <v>0</v>
      </c>
      <c r="L82" s="2">
        <v>4.5999999999999996</v>
      </c>
      <c r="M82" s="2">
        <v>621369.57999999996</v>
      </c>
      <c r="N82" s="2">
        <v>85493.64</v>
      </c>
    </row>
    <row r="83" spans="1:14">
      <c r="A83" s="2" t="s">
        <v>42</v>
      </c>
      <c r="B83" s="3">
        <v>45689</v>
      </c>
      <c r="C83" s="2" t="s">
        <v>27</v>
      </c>
      <c r="D83" s="2" t="s">
        <v>28</v>
      </c>
      <c r="E83" s="2">
        <v>60628.38</v>
      </c>
      <c r="F83" s="2">
        <v>4451</v>
      </c>
      <c r="G83" s="2">
        <v>9.5000000000000001E-2</v>
      </c>
      <c r="H83" s="2">
        <v>10</v>
      </c>
      <c r="I83" s="2">
        <v>89.6</v>
      </c>
      <c r="J83" s="2">
        <v>3.17</v>
      </c>
      <c r="K83" s="2">
        <v>0</v>
      </c>
      <c r="L83" s="2">
        <v>4.5999999999999996</v>
      </c>
      <c r="M83" s="2">
        <v>682208.01</v>
      </c>
      <c r="N83" s="2">
        <v>110318.84</v>
      </c>
    </row>
    <row r="84" spans="1:14">
      <c r="A84" s="2" t="s">
        <v>42</v>
      </c>
      <c r="B84" s="3">
        <v>45717</v>
      </c>
      <c r="C84" s="2" t="s">
        <v>27</v>
      </c>
      <c r="D84" s="2" t="s">
        <v>28</v>
      </c>
      <c r="E84" s="2">
        <v>72731.14</v>
      </c>
      <c r="F84" s="2">
        <v>4644</v>
      </c>
      <c r="G84" s="2">
        <v>8.4000000000000005E-2</v>
      </c>
      <c r="H84" s="2">
        <v>15</v>
      </c>
      <c r="I84" s="2">
        <v>87.1</v>
      </c>
      <c r="J84" s="2">
        <v>2.66</v>
      </c>
      <c r="K84" s="2">
        <v>0</v>
      </c>
      <c r="L84" s="2">
        <v>4.5999999999999996</v>
      </c>
      <c r="M84" s="2">
        <v>727241.86</v>
      </c>
      <c r="N84" s="2">
        <v>155810.29999999999</v>
      </c>
    </row>
    <row r="85" spans="1:14">
      <c r="A85" s="2" t="s">
        <v>42</v>
      </c>
      <c r="B85" s="3">
        <v>45748</v>
      </c>
      <c r="C85" s="2" t="s">
        <v>27</v>
      </c>
      <c r="D85" s="2" t="s">
        <v>28</v>
      </c>
      <c r="E85" s="2">
        <v>36475.71</v>
      </c>
      <c r="F85" s="2">
        <v>3559</v>
      </c>
      <c r="G85" s="2">
        <v>0.03</v>
      </c>
      <c r="H85" s="2">
        <v>8</v>
      </c>
      <c r="I85" s="2">
        <v>83.6</v>
      </c>
      <c r="J85" s="2">
        <v>1.41</v>
      </c>
      <c r="K85" s="2">
        <v>0</v>
      </c>
      <c r="L85" s="2">
        <v>4.2</v>
      </c>
      <c r="M85" s="2">
        <v>569100.78</v>
      </c>
      <c r="N85" s="2">
        <v>104808.78</v>
      </c>
    </row>
    <row r="86" spans="1:14">
      <c r="A86" s="2" t="s">
        <v>43</v>
      </c>
      <c r="B86" s="3">
        <v>45658</v>
      </c>
      <c r="C86" s="2" t="s">
        <v>27</v>
      </c>
      <c r="D86" s="2" t="s">
        <v>18</v>
      </c>
      <c r="E86" s="2">
        <v>55388.11</v>
      </c>
      <c r="F86" s="2">
        <v>3091</v>
      </c>
      <c r="G86" s="2">
        <v>0.108</v>
      </c>
      <c r="H86" s="2">
        <v>7</v>
      </c>
      <c r="I86" s="2">
        <v>85.4</v>
      </c>
      <c r="J86" s="2">
        <v>7.34</v>
      </c>
      <c r="K86" s="2">
        <v>0</v>
      </c>
      <c r="L86" s="2">
        <v>4.9000000000000004</v>
      </c>
      <c r="M86" s="2">
        <v>574436.29</v>
      </c>
      <c r="N86" s="2">
        <v>80271.990000000005</v>
      </c>
    </row>
    <row r="87" spans="1:14">
      <c r="A87" s="2" t="s">
        <v>43</v>
      </c>
      <c r="B87" s="3">
        <v>45689</v>
      </c>
      <c r="C87" s="2" t="s">
        <v>27</v>
      </c>
      <c r="D87" s="2" t="s">
        <v>18</v>
      </c>
      <c r="E87" s="2">
        <v>88443.77</v>
      </c>
      <c r="F87" s="2">
        <v>4004</v>
      </c>
      <c r="G87" s="2">
        <v>0.20599999999999999</v>
      </c>
      <c r="H87" s="2">
        <v>11</v>
      </c>
      <c r="I87" s="2">
        <v>91.9</v>
      </c>
      <c r="J87" s="2">
        <v>5.95</v>
      </c>
      <c r="K87" s="2">
        <v>0</v>
      </c>
      <c r="L87" s="2"/>
      <c r="M87" s="2">
        <v>611766.72</v>
      </c>
      <c r="N87" s="2">
        <v>88275.61</v>
      </c>
    </row>
    <row r="88" spans="1:14">
      <c r="A88" s="2" t="s">
        <v>43</v>
      </c>
      <c r="B88" s="3">
        <v>45717</v>
      </c>
      <c r="C88" s="2" t="s">
        <v>27</v>
      </c>
      <c r="D88" s="2" t="s">
        <v>18</v>
      </c>
      <c r="E88" s="2">
        <v>78231.91</v>
      </c>
      <c r="F88" s="2">
        <v>3788</v>
      </c>
      <c r="G88" s="2">
        <v>5.8999999999999997E-2</v>
      </c>
      <c r="H88" s="2">
        <v>11</v>
      </c>
      <c r="I88" s="2">
        <v>88.5</v>
      </c>
      <c r="J88" s="2">
        <v>15.51</v>
      </c>
      <c r="K88" s="2">
        <v>0</v>
      </c>
      <c r="L88" s="2">
        <v>4.3</v>
      </c>
      <c r="M88" s="2">
        <v>614596.31999999995</v>
      </c>
      <c r="N88" s="2">
        <v>131199.41</v>
      </c>
    </row>
    <row r="89" spans="1:14">
      <c r="A89" s="2" t="s">
        <v>43</v>
      </c>
      <c r="B89" s="3">
        <v>45748</v>
      </c>
      <c r="C89" s="2" t="s">
        <v>27</v>
      </c>
      <c r="D89" s="2" t="s">
        <v>18</v>
      </c>
      <c r="E89" s="2">
        <v>18996.32</v>
      </c>
      <c r="F89" s="2">
        <v>1260</v>
      </c>
      <c r="G89" s="2">
        <v>0.14499999999999999</v>
      </c>
      <c r="H89" s="2">
        <v>9</v>
      </c>
      <c r="I89" s="2">
        <v>86.4</v>
      </c>
      <c r="J89" s="2">
        <v>4.3099999999999996</v>
      </c>
      <c r="K89" s="2">
        <v>0</v>
      </c>
      <c r="L89" s="2">
        <v>4.5999999999999996</v>
      </c>
      <c r="M89" s="2">
        <v>450711.92</v>
      </c>
      <c r="N89" s="2">
        <v>90043.76</v>
      </c>
    </row>
    <row r="90" spans="1:14">
      <c r="A90" s="2" t="s">
        <v>44</v>
      </c>
      <c r="B90" s="3">
        <v>45658</v>
      </c>
      <c r="C90" s="2" t="s">
        <v>24</v>
      </c>
      <c r="D90" s="2" t="s">
        <v>28</v>
      </c>
      <c r="E90" s="2">
        <v>50517.94</v>
      </c>
      <c r="F90" s="2">
        <v>7024</v>
      </c>
      <c r="G90" s="2">
        <v>2.9000000000000001E-2</v>
      </c>
      <c r="H90" s="2">
        <v>18</v>
      </c>
      <c r="I90" s="2">
        <v>79.2</v>
      </c>
      <c r="J90" s="2">
        <v>6.61</v>
      </c>
      <c r="K90" s="2">
        <v>1</v>
      </c>
      <c r="L90" s="2">
        <v>4.0999999999999996</v>
      </c>
      <c r="M90" s="2">
        <v>711213.46</v>
      </c>
      <c r="N90" s="2">
        <v>105863.26</v>
      </c>
    </row>
    <row r="91" spans="1:14">
      <c r="A91" s="2" t="s">
        <v>44</v>
      </c>
      <c r="B91" s="3">
        <v>45689</v>
      </c>
      <c r="C91" s="2" t="s">
        <v>24</v>
      </c>
      <c r="D91" s="2" t="s">
        <v>28</v>
      </c>
      <c r="E91" s="2">
        <v>141540.29</v>
      </c>
      <c r="F91" s="2">
        <v>5400</v>
      </c>
      <c r="G91" s="2">
        <v>1.2999999999999999E-2</v>
      </c>
      <c r="H91" s="2">
        <v>12</v>
      </c>
      <c r="I91" s="2">
        <v>87</v>
      </c>
      <c r="J91" s="2">
        <v>4.26</v>
      </c>
      <c r="K91" s="2">
        <v>0</v>
      </c>
      <c r="L91" s="2">
        <v>4.5</v>
      </c>
      <c r="M91" s="2">
        <v>627171.9</v>
      </c>
      <c r="N91" s="2">
        <v>105772.75</v>
      </c>
    </row>
    <row r="92" spans="1:14">
      <c r="A92" s="2" t="s">
        <v>44</v>
      </c>
      <c r="B92" s="3">
        <v>45717</v>
      </c>
      <c r="C92" s="2" t="s">
        <v>24</v>
      </c>
      <c r="D92" s="2" t="s">
        <v>28</v>
      </c>
      <c r="E92" s="2">
        <v>82116.19</v>
      </c>
      <c r="F92" s="2">
        <v>5988</v>
      </c>
      <c r="G92" s="2">
        <v>0.04</v>
      </c>
      <c r="H92" s="2">
        <v>17</v>
      </c>
      <c r="I92" s="2">
        <v>91.8</v>
      </c>
      <c r="J92" s="2">
        <v>5.75</v>
      </c>
      <c r="K92" s="2">
        <v>0</v>
      </c>
      <c r="L92" s="2">
        <v>4.7</v>
      </c>
      <c r="M92" s="2">
        <v>739852.58</v>
      </c>
      <c r="N92" s="2">
        <v>129386.43</v>
      </c>
    </row>
    <row r="93" spans="1:14">
      <c r="A93" s="2" t="s">
        <v>44</v>
      </c>
      <c r="B93" s="3">
        <v>45748</v>
      </c>
      <c r="C93" s="2" t="s">
        <v>24</v>
      </c>
      <c r="D93" s="2" t="s">
        <v>28</v>
      </c>
      <c r="E93" s="2">
        <v>31207.51</v>
      </c>
      <c r="F93" s="2">
        <v>3701</v>
      </c>
      <c r="G93" s="2">
        <v>4.2999999999999997E-2</v>
      </c>
      <c r="H93" s="2">
        <v>11</v>
      </c>
      <c r="I93" s="2">
        <v>84.7</v>
      </c>
      <c r="J93" s="2">
        <v>0.33</v>
      </c>
      <c r="K93" s="2">
        <v>0</v>
      </c>
      <c r="L93" s="2">
        <v>4.3</v>
      </c>
      <c r="M93" s="2">
        <v>586307.22</v>
      </c>
      <c r="N93" s="2">
        <v>73927.850000000006</v>
      </c>
    </row>
    <row r="94" spans="1:14">
      <c r="A94" s="2" t="s">
        <v>45</v>
      </c>
      <c r="B94" s="3">
        <v>45658</v>
      </c>
      <c r="C94" s="2" t="s">
        <v>27</v>
      </c>
      <c r="D94" s="2" t="s">
        <v>16</v>
      </c>
      <c r="E94" s="2">
        <v>38966.589999999997</v>
      </c>
      <c r="F94" s="2">
        <v>4509</v>
      </c>
      <c r="G94" s="2">
        <v>0.19400000000000001</v>
      </c>
      <c r="H94" s="2">
        <v>14</v>
      </c>
      <c r="I94" s="2">
        <v>91.1</v>
      </c>
      <c r="J94" s="2">
        <v>2.92</v>
      </c>
      <c r="K94" s="2">
        <v>0</v>
      </c>
      <c r="L94" s="2">
        <v>4.5999999999999996</v>
      </c>
      <c r="M94" s="2">
        <v>585937.48</v>
      </c>
      <c r="N94" s="2">
        <v>82624.2</v>
      </c>
    </row>
    <row r="95" spans="1:14">
      <c r="A95" s="2" t="s">
        <v>45</v>
      </c>
      <c r="B95" s="3">
        <v>45689</v>
      </c>
      <c r="C95" s="2" t="s">
        <v>27</v>
      </c>
      <c r="D95" s="2" t="s">
        <v>16</v>
      </c>
      <c r="E95" s="2">
        <v>67439.3</v>
      </c>
      <c r="F95" s="2">
        <v>6477</v>
      </c>
      <c r="G95" s="2">
        <v>0</v>
      </c>
      <c r="H95" s="2">
        <v>16</v>
      </c>
      <c r="I95" s="2">
        <v>90.9</v>
      </c>
      <c r="J95" s="2">
        <v>1.64</v>
      </c>
      <c r="K95" s="2">
        <v>0</v>
      </c>
      <c r="L95" s="2">
        <v>4.5</v>
      </c>
      <c r="M95" s="2">
        <v>753473.55</v>
      </c>
      <c r="N95" s="2">
        <v>151527.22</v>
      </c>
    </row>
    <row r="96" spans="1:14">
      <c r="A96" s="2" t="s">
        <v>45</v>
      </c>
      <c r="B96" s="3">
        <v>45717</v>
      </c>
      <c r="C96" s="2" t="s">
        <v>27</v>
      </c>
      <c r="D96" s="2" t="s">
        <v>16</v>
      </c>
      <c r="E96" s="2">
        <v>86421.88</v>
      </c>
      <c r="F96" s="2">
        <v>7970</v>
      </c>
      <c r="G96" s="2">
        <v>7.2999999999999995E-2</v>
      </c>
      <c r="H96" s="2">
        <v>17</v>
      </c>
      <c r="I96" s="2">
        <v>91.3</v>
      </c>
      <c r="J96" s="2">
        <v>0.8</v>
      </c>
      <c r="K96" s="2">
        <v>0</v>
      </c>
      <c r="L96" s="2">
        <v>5</v>
      </c>
      <c r="M96" s="2">
        <v>838250.32</v>
      </c>
      <c r="N96" s="2">
        <v>122939.34</v>
      </c>
    </row>
    <row r="97" spans="1:14">
      <c r="A97" s="2" t="s">
        <v>45</v>
      </c>
      <c r="B97" s="3">
        <v>45748</v>
      </c>
      <c r="C97" s="2" t="s">
        <v>27</v>
      </c>
      <c r="D97" s="2" t="s">
        <v>16</v>
      </c>
      <c r="E97" s="2">
        <v>9534.65</v>
      </c>
      <c r="F97" s="2">
        <v>6057</v>
      </c>
      <c r="G97" s="2">
        <v>7.3999999999999996E-2</v>
      </c>
      <c r="H97" s="2">
        <v>15</v>
      </c>
      <c r="I97" s="2">
        <v>94.1</v>
      </c>
      <c r="J97" s="2">
        <v>5.79</v>
      </c>
      <c r="K97" s="2">
        <v>0</v>
      </c>
      <c r="L97" s="2">
        <v>4.5</v>
      </c>
      <c r="M97" s="2">
        <v>607898.12</v>
      </c>
      <c r="N97" s="2">
        <v>135404.85</v>
      </c>
    </row>
    <row r="98" spans="1:14">
      <c r="A98" s="2" t="s">
        <v>46</v>
      </c>
      <c r="B98" s="3">
        <v>45658</v>
      </c>
      <c r="C98" s="2" t="s">
        <v>27</v>
      </c>
      <c r="D98" s="2" t="s">
        <v>28</v>
      </c>
      <c r="E98" s="2">
        <v>61132.07</v>
      </c>
      <c r="F98" s="2">
        <v>6394</v>
      </c>
      <c r="G98" s="2">
        <v>0.16300000000000001</v>
      </c>
      <c r="H98" s="2">
        <v>19</v>
      </c>
      <c r="I98" s="2">
        <v>91</v>
      </c>
      <c r="J98" s="2">
        <v>19.600000000000001</v>
      </c>
      <c r="K98" s="2">
        <v>0</v>
      </c>
      <c r="L98" s="2">
        <v>4.4000000000000004</v>
      </c>
      <c r="M98" s="2">
        <v>691113.62</v>
      </c>
      <c r="N98" s="2">
        <v>135145.44</v>
      </c>
    </row>
    <row r="99" spans="1:14">
      <c r="A99" s="2" t="s">
        <v>46</v>
      </c>
      <c r="B99" s="3">
        <v>45689</v>
      </c>
      <c r="C99" s="2" t="s">
        <v>27</v>
      </c>
      <c r="D99" s="2" t="s">
        <v>28</v>
      </c>
      <c r="E99" s="2">
        <v>78839.39</v>
      </c>
      <c r="F99" s="2">
        <v>5150</v>
      </c>
      <c r="G99" s="2">
        <v>0.17100000000000001</v>
      </c>
      <c r="H99" s="2">
        <v>13</v>
      </c>
      <c r="I99" s="2">
        <v>85.8</v>
      </c>
      <c r="J99" s="2">
        <v>7.57</v>
      </c>
      <c r="K99" s="2">
        <v>0</v>
      </c>
      <c r="L99" s="2">
        <v>4.3</v>
      </c>
      <c r="M99" s="2">
        <v>735509.4</v>
      </c>
      <c r="N99" s="2">
        <v>83895.96</v>
      </c>
    </row>
    <row r="100" spans="1:14">
      <c r="A100" s="2" t="s">
        <v>46</v>
      </c>
      <c r="B100" s="3">
        <v>45717</v>
      </c>
      <c r="C100" s="2" t="s">
        <v>27</v>
      </c>
      <c r="D100" s="2" t="s">
        <v>28</v>
      </c>
      <c r="E100" s="2">
        <v>38752.800000000003</v>
      </c>
      <c r="F100" s="2">
        <v>4712</v>
      </c>
      <c r="G100" s="2">
        <v>7.4999999999999997E-2</v>
      </c>
      <c r="H100" s="2">
        <v>15</v>
      </c>
      <c r="I100" s="2">
        <v>89.7</v>
      </c>
      <c r="J100" s="2"/>
      <c r="K100" s="2">
        <v>0</v>
      </c>
      <c r="L100" s="2">
        <v>4.3</v>
      </c>
      <c r="M100" s="2">
        <v>605775.32999999996</v>
      </c>
      <c r="N100" s="2">
        <v>107194.6</v>
      </c>
    </row>
    <row r="101" spans="1:14">
      <c r="A101" s="2" t="s">
        <v>46</v>
      </c>
      <c r="B101" s="3">
        <v>45748</v>
      </c>
      <c r="C101" s="2" t="s">
        <v>27</v>
      </c>
      <c r="D101" s="2" t="s">
        <v>28</v>
      </c>
      <c r="E101" s="2">
        <v>55101.1</v>
      </c>
      <c r="F101" s="2">
        <v>5281</v>
      </c>
      <c r="G101" s="2">
        <v>0.189</v>
      </c>
      <c r="H101" s="2">
        <v>11</v>
      </c>
      <c r="I101" s="2">
        <v>91</v>
      </c>
      <c r="J101" s="2">
        <v>2.7</v>
      </c>
      <c r="K101" s="2">
        <v>0</v>
      </c>
      <c r="L101" s="2">
        <v>4.4000000000000004</v>
      </c>
      <c r="M101" s="2">
        <v>675177.68</v>
      </c>
      <c r="N101" s="2">
        <v>105628.68</v>
      </c>
    </row>
    <row r="102" spans="1:14">
      <c r="A102" s="2" t="s">
        <v>47</v>
      </c>
      <c r="B102" s="3">
        <v>45658</v>
      </c>
      <c r="C102" s="2" t="s">
        <v>15</v>
      </c>
      <c r="D102" s="2" t="s">
        <v>28</v>
      </c>
      <c r="E102" s="2">
        <v>53084.76</v>
      </c>
      <c r="F102" s="2">
        <v>3642</v>
      </c>
      <c r="G102" s="2">
        <v>0.15</v>
      </c>
      <c r="H102" s="2">
        <v>12</v>
      </c>
      <c r="I102" s="2">
        <v>91.4</v>
      </c>
      <c r="J102" s="2">
        <v>0.2</v>
      </c>
      <c r="K102" s="2">
        <v>0</v>
      </c>
      <c r="L102" s="2">
        <v>4.4000000000000004</v>
      </c>
      <c r="M102" s="2">
        <v>635181.35</v>
      </c>
      <c r="N102" s="2">
        <v>83341.25</v>
      </c>
    </row>
    <row r="103" spans="1:14">
      <c r="A103" s="2" t="s">
        <v>47</v>
      </c>
      <c r="B103" s="3">
        <v>45689</v>
      </c>
      <c r="C103" s="2" t="s">
        <v>15</v>
      </c>
      <c r="D103" s="2" t="s">
        <v>28</v>
      </c>
      <c r="E103" s="2">
        <v>63101.59</v>
      </c>
      <c r="F103" s="2">
        <v>4373</v>
      </c>
      <c r="G103" s="2">
        <v>0.17299999999999999</v>
      </c>
      <c r="H103" s="2">
        <v>14</v>
      </c>
      <c r="I103" s="2">
        <v>90.4</v>
      </c>
      <c r="J103" s="2">
        <v>7.87</v>
      </c>
      <c r="K103" s="2">
        <v>0</v>
      </c>
      <c r="L103" s="2">
        <v>4.7</v>
      </c>
      <c r="M103" s="2">
        <v>586626.93999999994</v>
      </c>
      <c r="N103" s="2">
        <v>86498.55</v>
      </c>
    </row>
    <row r="104" spans="1:14">
      <c r="A104" s="2" t="s">
        <v>47</v>
      </c>
      <c r="B104" s="3">
        <v>45717</v>
      </c>
      <c r="C104" s="2" t="s">
        <v>15</v>
      </c>
      <c r="D104" s="2" t="s">
        <v>28</v>
      </c>
      <c r="E104" s="2">
        <v>90084.4</v>
      </c>
      <c r="F104" s="2">
        <v>6832</v>
      </c>
      <c r="G104" s="2">
        <v>0.185</v>
      </c>
      <c r="H104" s="2">
        <v>14</v>
      </c>
      <c r="I104" s="2">
        <v>80.5</v>
      </c>
      <c r="J104" s="2">
        <v>0.77</v>
      </c>
      <c r="K104" s="2">
        <v>1</v>
      </c>
      <c r="L104" s="2">
        <v>4.4000000000000004</v>
      </c>
      <c r="M104" s="2">
        <v>740102.64</v>
      </c>
      <c r="N104" s="2">
        <v>114299.07</v>
      </c>
    </row>
    <row r="105" spans="1:14">
      <c r="A105" s="2" t="s">
        <v>47</v>
      </c>
      <c r="B105" s="3">
        <v>45748</v>
      </c>
      <c r="C105" s="2" t="s">
        <v>15</v>
      </c>
      <c r="D105" s="2" t="s">
        <v>28</v>
      </c>
      <c r="E105" s="2">
        <v>32266.639999999999</v>
      </c>
      <c r="F105" s="2">
        <v>2414</v>
      </c>
      <c r="G105" s="2">
        <v>0.08</v>
      </c>
      <c r="H105" s="2">
        <v>7</v>
      </c>
      <c r="I105" s="2">
        <v>92.1</v>
      </c>
      <c r="J105" s="2">
        <v>1.48</v>
      </c>
      <c r="K105" s="2">
        <v>0</v>
      </c>
      <c r="L105" s="2">
        <v>5</v>
      </c>
      <c r="M105" s="2">
        <v>625514.04</v>
      </c>
      <c r="N105" s="2">
        <v>120685.08</v>
      </c>
    </row>
    <row r="106" spans="1:14">
      <c r="A106" s="2" t="s">
        <v>48</v>
      </c>
      <c r="B106" s="3">
        <v>45658</v>
      </c>
      <c r="C106" s="2" t="s">
        <v>27</v>
      </c>
      <c r="D106" s="2" t="s">
        <v>18</v>
      </c>
      <c r="E106" s="2">
        <v>57919.07</v>
      </c>
      <c r="F106" s="2">
        <v>7374</v>
      </c>
      <c r="G106" s="2">
        <v>0.10299999999999999</v>
      </c>
      <c r="H106" s="2">
        <v>21</v>
      </c>
      <c r="I106" s="2">
        <v>82.3</v>
      </c>
      <c r="J106" s="2">
        <v>2.87</v>
      </c>
      <c r="K106" s="2">
        <v>0</v>
      </c>
      <c r="L106" s="2">
        <v>2.9</v>
      </c>
      <c r="M106" s="2">
        <v>727227.2</v>
      </c>
      <c r="N106" s="2">
        <v>121292.01</v>
      </c>
    </row>
    <row r="107" spans="1:14">
      <c r="A107" s="2" t="s">
        <v>48</v>
      </c>
      <c r="B107" s="3">
        <v>45689</v>
      </c>
      <c r="C107" s="2" t="s">
        <v>27</v>
      </c>
      <c r="D107" s="2" t="s">
        <v>18</v>
      </c>
      <c r="E107" s="2">
        <v>74679.350000000006</v>
      </c>
      <c r="F107" s="2">
        <v>8739</v>
      </c>
      <c r="G107" s="2">
        <v>5.6000000000000001E-2</v>
      </c>
      <c r="H107" s="2">
        <v>21</v>
      </c>
      <c r="I107" s="2">
        <v>91.8</v>
      </c>
      <c r="J107" s="2">
        <v>2.83</v>
      </c>
      <c r="K107" s="2">
        <v>0</v>
      </c>
      <c r="L107" s="2">
        <v>3</v>
      </c>
      <c r="M107" s="2">
        <v>783797.89</v>
      </c>
      <c r="N107" s="2">
        <v>157620.70000000001</v>
      </c>
    </row>
    <row r="108" spans="1:14">
      <c r="A108" s="2" t="s">
        <v>48</v>
      </c>
      <c r="B108" s="3">
        <v>45717</v>
      </c>
      <c r="C108" s="2" t="s">
        <v>27</v>
      </c>
      <c r="D108" s="2" t="s">
        <v>18</v>
      </c>
      <c r="E108" s="2">
        <v>64294.23</v>
      </c>
      <c r="F108" s="2">
        <v>6992</v>
      </c>
      <c r="G108" s="2">
        <v>0.13300000000000001</v>
      </c>
      <c r="H108" s="2">
        <v>14</v>
      </c>
      <c r="I108" s="2">
        <v>94.1</v>
      </c>
      <c r="J108" s="2">
        <v>0.25</v>
      </c>
      <c r="K108" s="2">
        <v>0</v>
      </c>
      <c r="L108" s="2">
        <v>3</v>
      </c>
      <c r="M108" s="2">
        <v>795153.84</v>
      </c>
      <c r="N108" s="2">
        <v>143194.21</v>
      </c>
    </row>
    <row r="109" spans="1:14">
      <c r="A109" s="2" t="s">
        <v>48</v>
      </c>
      <c r="B109" s="3">
        <v>45748</v>
      </c>
      <c r="C109" s="2" t="s">
        <v>27</v>
      </c>
      <c r="D109" s="2" t="s">
        <v>18</v>
      </c>
      <c r="E109" s="2">
        <v>31042.03</v>
      </c>
      <c r="F109" s="2">
        <v>7107</v>
      </c>
      <c r="G109" s="2">
        <v>5.0999999999999997E-2</v>
      </c>
      <c r="H109" s="2">
        <v>15</v>
      </c>
      <c r="I109" s="2">
        <v>87</v>
      </c>
      <c r="J109" s="2">
        <v>13.33</v>
      </c>
      <c r="K109" s="2">
        <v>0</v>
      </c>
      <c r="L109" s="2">
        <v>3.2</v>
      </c>
      <c r="M109" s="2">
        <v>665594.93999999994</v>
      </c>
      <c r="N109" s="2">
        <v>127597.34</v>
      </c>
    </row>
    <row r="110" spans="1:14">
      <c r="A110" s="2" t="s">
        <v>49</v>
      </c>
      <c r="B110" s="3">
        <v>45658</v>
      </c>
      <c r="C110" s="2" t="s">
        <v>15</v>
      </c>
      <c r="D110" s="2" t="s">
        <v>28</v>
      </c>
      <c r="E110" s="2">
        <v>75265.02</v>
      </c>
      <c r="F110" s="2">
        <v>6975</v>
      </c>
      <c r="G110" s="2">
        <v>0.157</v>
      </c>
      <c r="H110" s="2">
        <v>20</v>
      </c>
      <c r="I110" s="2">
        <v>73.8</v>
      </c>
      <c r="J110" s="2">
        <v>6.35</v>
      </c>
      <c r="K110" s="2">
        <v>1</v>
      </c>
      <c r="L110" s="2">
        <v>3.8</v>
      </c>
      <c r="M110" s="2">
        <v>709478.39</v>
      </c>
      <c r="N110" s="2">
        <v>71294.27</v>
      </c>
    </row>
    <row r="111" spans="1:14">
      <c r="A111" s="2" t="s">
        <v>49</v>
      </c>
      <c r="B111" s="3">
        <v>45689</v>
      </c>
      <c r="C111" s="2" t="s">
        <v>15</v>
      </c>
      <c r="D111" s="2" t="s">
        <v>28</v>
      </c>
      <c r="E111" s="2">
        <v>69411.7</v>
      </c>
      <c r="F111" s="2">
        <v>5493</v>
      </c>
      <c r="G111" s="2">
        <v>0.29199999999999998</v>
      </c>
      <c r="H111" s="2">
        <v>13</v>
      </c>
      <c r="I111" s="2">
        <v>86.5</v>
      </c>
      <c r="J111" s="2">
        <v>6.69</v>
      </c>
      <c r="K111" s="2">
        <v>0</v>
      </c>
      <c r="L111" s="2">
        <v>3.8</v>
      </c>
      <c r="M111" s="2">
        <v>664162.49</v>
      </c>
      <c r="N111" s="2">
        <v>98291.06</v>
      </c>
    </row>
    <row r="112" spans="1:14">
      <c r="A112" s="2" t="s">
        <v>49</v>
      </c>
      <c r="B112" s="3">
        <v>45717</v>
      </c>
      <c r="C112" s="2" t="s">
        <v>15</v>
      </c>
      <c r="D112" s="2" t="s">
        <v>28</v>
      </c>
      <c r="E112" s="2">
        <v>51056.15</v>
      </c>
      <c r="F112" s="2">
        <v>5686</v>
      </c>
      <c r="G112" s="2">
        <v>8.8999999999999996E-2</v>
      </c>
      <c r="H112" s="2">
        <v>13</v>
      </c>
      <c r="I112" s="2">
        <v>89.9</v>
      </c>
      <c r="J112" s="2">
        <v>1.28</v>
      </c>
      <c r="K112" s="2">
        <v>0</v>
      </c>
      <c r="L112" s="2">
        <v>4.2</v>
      </c>
      <c r="M112" s="2">
        <v>633494.21</v>
      </c>
      <c r="N112" s="2">
        <v>105739.47</v>
      </c>
    </row>
    <row r="113" spans="1:14">
      <c r="A113" s="2" t="s">
        <v>49</v>
      </c>
      <c r="B113" s="3">
        <v>45748</v>
      </c>
      <c r="C113" s="2" t="s">
        <v>15</v>
      </c>
      <c r="D113" s="2" t="s">
        <v>28</v>
      </c>
      <c r="E113" s="2">
        <v>52758.01</v>
      </c>
      <c r="F113" s="2">
        <v>4063</v>
      </c>
      <c r="G113" s="2">
        <v>5.7000000000000002E-2</v>
      </c>
      <c r="H113" s="2">
        <v>12</v>
      </c>
      <c r="I113" s="2">
        <v>91.7</v>
      </c>
      <c r="J113" s="2">
        <v>0.92</v>
      </c>
      <c r="K113" s="2">
        <v>0</v>
      </c>
      <c r="L113" s="2">
        <v>3.5</v>
      </c>
      <c r="M113" s="2">
        <v>713611.16</v>
      </c>
      <c r="N113" s="2">
        <v>129717.18</v>
      </c>
    </row>
    <row r="114" spans="1:14">
      <c r="A114" s="2" t="s">
        <v>50</v>
      </c>
      <c r="B114" s="3">
        <v>45658</v>
      </c>
      <c r="C114" s="2" t="s">
        <v>27</v>
      </c>
      <c r="D114" s="2" t="s">
        <v>28</v>
      </c>
      <c r="E114" s="2">
        <v>61426.04</v>
      </c>
      <c r="F114" s="2">
        <v>8966</v>
      </c>
      <c r="G114" s="2">
        <v>0.17299999999999999</v>
      </c>
      <c r="H114" s="2">
        <v>22</v>
      </c>
      <c r="I114" s="2">
        <v>76.400000000000006</v>
      </c>
      <c r="J114" s="2">
        <v>1.05</v>
      </c>
      <c r="K114" s="2">
        <v>0</v>
      </c>
      <c r="L114" s="2">
        <v>3.1</v>
      </c>
      <c r="M114" s="2">
        <v>778397.97</v>
      </c>
      <c r="N114" s="2">
        <v>120044.41</v>
      </c>
    </row>
    <row r="115" spans="1:14">
      <c r="A115" s="2" t="s">
        <v>50</v>
      </c>
      <c r="B115" s="3">
        <v>45689</v>
      </c>
      <c r="C115" s="2" t="s">
        <v>27</v>
      </c>
      <c r="D115" s="2" t="s">
        <v>28</v>
      </c>
      <c r="E115" s="2">
        <v>80176.34</v>
      </c>
      <c r="F115" s="2">
        <v>9489</v>
      </c>
      <c r="G115" s="2">
        <v>0.14199999999999999</v>
      </c>
      <c r="H115" s="2">
        <v>22</v>
      </c>
      <c r="I115" s="2">
        <v>94.3</v>
      </c>
      <c r="J115" s="2">
        <v>2.67</v>
      </c>
      <c r="K115" s="2">
        <v>0</v>
      </c>
      <c r="L115" s="2">
        <v>3.5</v>
      </c>
      <c r="M115" s="2">
        <v>873380.02</v>
      </c>
      <c r="N115" s="2">
        <v>149734.76</v>
      </c>
    </row>
    <row r="116" spans="1:14">
      <c r="A116" s="2" t="s">
        <v>50</v>
      </c>
      <c r="B116" s="3">
        <v>45717</v>
      </c>
      <c r="C116" s="2" t="s">
        <v>27</v>
      </c>
      <c r="D116" s="2" t="s">
        <v>28</v>
      </c>
      <c r="E116" s="2">
        <v>33605.18</v>
      </c>
      <c r="F116" s="2">
        <v>9225</v>
      </c>
      <c r="G116" s="2">
        <v>0.159</v>
      </c>
      <c r="H116" s="2">
        <v>23</v>
      </c>
      <c r="I116" s="2">
        <v>88.4</v>
      </c>
      <c r="J116" s="2">
        <v>5.91</v>
      </c>
      <c r="K116" s="2">
        <v>0</v>
      </c>
      <c r="L116" s="2">
        <v>2.8</v>
      </c>
      <c r="M116" s="2">
        <v>697287.9</v>
      </c>
      <c r="N116" s="2">
        <v>128208.33</v>
      </c>
    </row>
    <row r="117" spans="1:14">
      <c r="A117" s="2" t="s">
        <v>50</v>
      </c>
      <c r="B117" s="3">
        <v>45748</v>
      </c>
      <c r="C117" s="2" t="s">
        <v>27</v>
      </c>
      <c r="D117" s="2" t="s">
        <v>28</v>
      </c>
      <c r="E117" s="2">
        <v>25990.54</v>
      </c>
      <c r="F117" s="2">
        <v>9249</v>
      </c>
      <c r="G117" s="2">
        <v>0.13900000000000001</v>
      </c>
      <c r="H117" s="2">
        <v>23</v>
      </c>
      <c r="I117" s="2">
        <v>92.5</v>
      </c>
      <c r="J117" s="2">
        <v>6.37</v>
      </c>
      <c r="K117" s="2">
        <v>0</v>
      </c>
      <c r="L117" s="2">
        <v>3.3</v>
      </c>
      <c r="M117" s="2">
        <v>718074.79</v>
      </c>
      <c r="N117" s="2">
        <v>115819.87</v>
      </c>
    </row>
    <row r="118" spans="1:14">
      <c r="A118" s="2" t="s">
        <v>51</v>
      </c>
      <c r="B118" s="3">
        <v>45658</v>
      </c>
      <c r="C118" s="2" t="s">
        <v>27</v>
      </c>
      <c r="D118" s="2" t="s">
        <v>16</v>
      </c>
      <c r="E118" s="2">
        <v>43685.14</v>
      </c>
      <c r="F118" s="2">
        <v>7821</v>
      </c>
      <c r="G118" s="2">
        <v>0.19</v>
      </c>
      <c r="H118" s="2">
        <v>17</v>
      </c>
      <c r="I118" s="2">
        <v>91</v>
      </c>
      <c r="J118" s="2">
        <v>2.4900000000000002</v>
      </c>
      <c r="K118" s="2">
        <v>1</v>
      </c>
      <c r="L118" s="2">
        <v>4.7</v>
      </c>
      <c r="M118" s="2">
        <v>714942.43</v>
      </c>
      <c r="N118" s="2">
        <v>94697.71</v>
      </c>
    </row>
    <row r="119" spans="1:14">
      <c r="A119" s="2" t="s">
        <v>51</v>
      </c>
      <c r="B119" s="3">
        <v>45689</v>
      </c>
      <c r="C119" s="2" t="s">
        <v>27</v>
      </c>
      <c r="D119" s="2" t="s">
        <v>16</v>
      </c>
      <c r="E119" s="2">
        <v>57360.01</v>
      </c>
      <c r="F119" s="2">
        <v>8434</v>
      </c>
      <c r="G119" s="2">
        <v>0.151</v>
      </c>
      <c r="H119" s="2">
        <v>19</v>
      </c>
      <c r="I119" s="2">
        <v>84.1</v>
      </c>
      <c r="J119" s="2">
        <v>1.56</v>
      </c>
      <c r="K119" s="2">
        <v>0</v>
      </c>
      <c r="L119" s="2">
        <v>4.7</v>
      </c>
      <c r="M119" s="2">
        <v>820519.04</v>
      </c>
      <c r="N119" s="2">
        <v>99035.88</v>
      </c>
    </row>
    <row r="120" spans="1:14">
      <c r="A120" s="2" t="s">
        <v>51</v>
      </c>
      <c r="B120" s="3">
        <v>45717</v>
      </c>
      <c r="C120" s="2" t="s">
        <v>27</v>
      </c>
      <c r="D120" s="2" t="s">
        <v>16</v>
      </c>
      <c r="E120" s="2">
        <v>42415.47</v>
      </c>
      <c r="F120" s="2">
        <v>8512</v>
      </c>
      <c r="G120" s="2">
        <v>0.13300000000000001</v>
      </c>
      <c r="H120" s="2">
        <v>18</v>
      </c>
      <c r="I120" s="2">
        <v>96.8</v>
      </c>
      <c r="J120" s="2">
        <v>14.95</v>
      </c>
      <c r="K120" s="2">
        <v>0</v>
      </c>
      <c r="L120" s="2">
        <v>4.5999999999999996</v>
      </c>
      <c r="M120" s="2">
        <v>684217.32</v>
      </c>
      <c r="N120" s="2">
        <v>136217.19</v>
      </c>
    </row>
    <row r="121" spans="1:14">
      <c r="A121" s="2" t="s">
        <v>51</v>
      </c>
      <c r="B121" s="3">
        <v>45748</v>
      </c>
      <c r="C121" s="2" t="s">
        <v>27</v>
      </c>
      <c r="D121" s="2" t="s">
        <v>16</v>
      </c>
      <c r="E121" s="2">
        <v>54968.98</v>
      </c>
      <c r="F121" s="2">
        <v>7816</v>
      </c>
      <c r="G121" s="2">
        <v>0.23200000000000001</v>
      </c>
      <c r="H121" s="2">
        <v>19</v>
      </c>
      <c r="I121" s="2">
        <v>95.7</v>
      </c>
      <c r="J121" s="2">
        <v>7.85</v>
      </c>
      <c r="K121" s="2">
        <v>0</v>
      </c>
      <c r="L121" s="2">
        <v>4.7</v>
      </c>
      <c r="M121" s="2">
        <v>735480.19</v>
      </c>
      <c r="N121" s="2">
        <v>88342.11</v>
      </c>
    </row>
    <row r="122" spans="1:14">
      <c r="A122" s="2" t="s">
        <v>52</v>
      </c>
      <c r="B122" s="3">
        <v>45658</v>
      </c>
      <c r="C122" s="2" t="s">
        <v>20</v>
      </c>
      <c r="D122" s="2" t="s">
        <v>18</v>
      </c>
      <c r="E122" s="2">
        <v>43896.13</v>
      </c>
      <c r="F122" s="2">
        <v>3853</v>
      </c>
      <c r="G122" s="2">
        <v>8.7999999999999995E-2</v>
      </c>
      <c r="H122" s="2">
        <v>13</v>
      </c>
      <c r="I122" s="2">
        <v>83</v>
      </c>
      <c r="J122" s="2">
        <v>6.8</v>
      </c>
      <c r="K122" s="2">
        <v>0</v>
      </c>
      <c r="L122" s="2">
        <v>4.4000000000000004</v>
      </c>
      <c r="M122" s="2">
        <v>509484.81</v>
      </c>
      <c r="N122" s="2">
        <v>85742.36</v>
      </c>
    </row>
    <row r="123" spans="1:14">
      <c r="A123" s="2" t="s">
        <v>52</v>
      </c>
      <c r="B123" s="3">
        <v>45689</v>
      </c>
      <c r="C123" s="2" t="s">
        <v>20</v>
      </c>
      <c r="D123" s="2" t="s">
        <v>18</v>
      </c>
      <c r="E123" s="2">
        <v>83044.17</v>
      </c>
      <c r="F123" s="2">
        <v>3694</v>
      </c>
      <c r="G123" s="2">
        <v>0</v>
      </c>
      <c r="H123" s="2">
        <v>14</v>
      </c>
      <c r="I123" s="2">
        <v>89.4</v>
      </c>
      <c r="J123" s="2">
        <v>2.2000000000000002</v>
      </c>
      <c r="K123" s="2">
        <v>0</v>
      </c>
      <c r="L123" s="2">
        <v>3.7</v>
      </c>
      <c r="M123" s="2">
        <v>654317.09</v>
      </c>
      <c r="N123" s="2">
        <v>121446.89</v>
      </c>
    </row>
    <row r="124" spans="1:14">
      <c r="A124" s="2" t="s">
        <v>52</v>
      </c>
      <c r="B124" s="3">
        <v>45717</v>
      </c>
      <c r="C124" s="2" t="s">
        <v>20</v>
      </c>
      <c r="D124" s="2" t="s">
        <v>18</v>
      </c>
      <c r="E124" s="2">
        <v>48396.13</v>
      </c>
      <c r="F124" s="2">
        <v>4423</v>
      </c>
      <c r="G124" s="2">
        <v>6.9000000000000006E-2</v>
      </c>
      <c r="H124" s="2">
        <v>15</v>
      </c>
      <c r="I124" s="2">
        <v>85.7</v>
      </c>
      <c r="J124" s="2">
        <v>1.88</v>
      </c>
      <c r="K124" s="2">
        <v>0</v>
      </c>
      <c r="L124" s="2">
        <v>3.9</v>
      </c>
      <c r="M124" s="2">
        <v>557487.26</v>
      </c>
      <c r="N124" s="2">
        <v>76432.19</v>
      </c>
    </row>
    <row r="125" spans="1:14">
      <c r="A125" s="2" t="s">
        <v>52</v>
      </c>
      <c r="B125" s="3">
        <v>45748</v>
      </c>
      <c r="C125" s="2" t="s">
        <v>20</v>
      </c>
      <c r="D125" s="2" t="s">
        <v>18</v>
      </c>
      <c r="E125" s="2">
        <v>19063.48</v>
      </c>
      <c r="F125" s="2">
        <v>1906</v>
      </c>
      <c r="G125" s="2">
        <v>0.216</v>
      </c>
      <c r="H125" s="2">
        <v>10</v>
      </c>
      <c r="I125" s="2">
        <v>97.8</v>
      </c>
      <c r="J125" s="2">
        <v>15.79</v>
      </c>
      <c r="K125" s="2">
        <v>0</v>
      </c>
      <c r="L125" s="2">
        <v>4.4000000000000004</v>
      </c>
      <c r="M125" s="2">
        <v>441275.42</v>
      </c>
      <c r="N125" s="2">
        <v>58234.87</v>
      </c>
    </row>
    <row r="126" spans="1:14">
      <c r="A126" s="2" t="s">
        <v>53</v>
      </c>
      <c r="B126" s="3">
        <v>45658</v>
      </c>
      <c r="C126" s="2" t="s">
        <v>24</v>
      </c>
      <c r="D126" s="2" t="s">
        <v>18</v>
      </c>
      <c r="E126" s="2">
        <v>61541.21</v>
      </c>
      <c r="F126" s="2">
        <v>10396</v>
      </c>
      <c r="G126" s="2">
        <v>0.123</v>
      </c>
      <c r="H126" s="2">
        <v>25</v>
      </c>
      <c r="I126" s="2">
        <v>88.1</v>
      </c>
      <c r="J126" s="2">
        <v>2.34</v>
      </c>
      <c r="K126" s="2">
        <v>1</v>
      </c>
      <c r="L126" s="2">
        <v>4.8</v>
      </c>
      <c r="M126" s="2">
        <v>914544.17</v>
      </c>
      <c r="N126" s="2">
        <v>79831.73</v>
      </c>
    </row>
    <row r="127" spans="1:14">
      <c r="A127" s="2" t="s">
        <v>53</v>
      </c>
      <c r="B127" s="3">
        <v>45689</v>
      </c>
      <c r="C127" s="2" t="s">
        <v>24</v>
      </c>
      <c r="D127" s="2" t="s">
        <v>18</v>
      </c>
      <c r="E127" s="2">
        <v>44747</v>
      </c>
      <c r="F127" s="2">
        <v>11076</v>
      </c>
      <c r="G127" s="2">
        <v>0.17599999999999999</v>
      </c>
      <c r="H127" s="2">
        <v>27</v>
      </c>
      <c r="I127" s="2">
        <v>98.3</v>
      </c>
      <c r="J127" s="2">
        <v>0.54</v>
      </c>
      <c r="K127" s="2">
        <v>0</v>
      </c>
      <c r="L127" s="2">
        <v>4.4000000000000004</v>
      </c>
      <c r="M127" s="2">
        <v>842439.67</v>
      </c>
      <c r="N127" s="2">
        <v>169983.63</v>
      </c>
    </row>
    <row r="128" spans="1:14">
      <c r="A128" s="2" t="s">
        <v>53</v>
      </c>
      <c r="B128" s="3">
        <v>45717</v>
      </c>
      <c r="C128" s="2" t="s">
        <v>24</v>
      </c>
      <c r="D128" s="2" t="s">
        <v>18</v>
      </c>
      <c r="E128" s="2">
        <v>56517.9</v>
      </c>
      <c r="F128" s="2">
        <v>9574</v>
      </c>
      <c r="G128" s="2">
        <v>0.20399999999999999</v>
      </c>
      <c r="H128" s="2">
        <v>20</v>
      </c>
      <c r="I128" s="2">
        <v>88.2</v>
      </c>
      <c r="J128" s="2">
        <v>5.37</v>
      </c>
      <c r="K128" s="2">
        <v>1</v>
      </c>
      <c r="L128" s="2">
        <v>4.9000000000000004</v>
      </c>
      <c r="M128" s="2">
        <v>842157.92</v>
      </c>
      <c r="N128" s="2">
        <v>107348.22</v>
      </c>
    </row>
    <row r="129" spans="1:14">
      <c r="A129" s="2" t="s">
        <v>53</v>
      </c>
      <c r="B129" s="3">
        <v>45748</v>
      </c>
      <c r="C129" s="2" t="s">
        <v>24</v>
      </c>
      <c r="D129" s="2" t="s">
        <v>18</v>
      </c>
      <c r="E129" s="2">
        <v>37828.5</v>
      </c>
      <c r="F129" s="2">
        <v>8221</v>
      </c>
      <c r="G129" s="2">
        <v>9.6000000000000002E-2</v>
      </c>
      <c r="H129" s="2">
        <v>19</v>
      </c>
      <c r="I129" s="2">
        <v>81.5</v>
      </c>
      <c r="J129" s="2">
        <v>3.19</v>
      </c>
      <c r="K129" s="2">
        <v>0</v>
      </c>
      <c r="L129" s="2">
        <v>4.8</v>
      </c>
      <c r="M129" s="2">
        <v>697155.3</v>
      </c>
      <c r="N129" s="2">
        <v>136408.54</v>
      </c>
    </row>
    <row r="130" spans="1:14">
      <c r="A130" s="2" t="s">
        <v>54</v>
      </c>
      <c r="B130" s="3">
        <v>45658</v>
      </c>
      <c r="C130" s="2" t="s">
        <v>15</v>
      </c>
      <c r="D130" s="2" t="s">
        <v>18</v>
      </c>
      <c r="E130" s="2">
        <v>66250.53</v>
      </c>
      <c r="F130" s="2">
        <v>10618</v>
      </c>
      <c r="G130" s="2">
        <v>0.14199999999999999</v>
      </c>
      <c r="H130" s="2">
        <v>27</v>
      </c>
      <c r="I130" s="2">
        <v>88.3</v>
      </c>
      <c r="J130" s="2">
        <v>1.1000000000000001</v>
      </c>
      <c r="K130" s="2">
        <v>1</v>
      </c>
      <c r="L130" s="2">
        <v>4.4000000000000004</v>
      </c>
      <c r="M130" s="2">
        <v>849018.3</v>
      </c>
      <c r="N130" s="2">
        <v>149035.13</v>
      </c>
    </row>
    <row r="131" spans="1:14">
      <c r="A131" s="2" t="s">
        <v>54</v>
      </c>
      <c r="B131" s="3">
        <v>45689</v>
      </c>
      <c r="C131" s="2" t="s">
        <v>15</v>
      </c>
      <c r="D131" s="2" t="s">
        <v>18</v>
      </c>
      <c r="E131" s="2">
        <v>68410.929999999993</v>
      </c>
      <c r="F131" s="2">
        <v>10596</v>
      </c>
      <c r="G131" s="2">
        <v>0.20699999999999999</v>
      </c>
      <c r="H131" s="2">
        <v>25</v>
      </c>
      <c r="I131" s="2">
        <v>81.2</v>
      </c>
      <c r="J131" s="2">
        <v>0.21</v>
      </c>
      <c r="K131" s="2">
        <v>0</v>
      </c>
      <c r="L131" s="2">
        <v>4</v>
      </c>
      <c r="M131" s="2">
        <v>801830.35</v>
      </c>
      <c r="N131" s="2">
        <v>114875.32</v>
      </c>
    </row>
    <row r="132" spans="1:14">
      <c r="A132" s="2" t="s">
        <v>54</v>
      </c>
      <c r="B132" s="3">
        <v>45717</v>
      </c>
      <c r="C132" s="2" t="s">
        <v>15</v>
      </c>
      <c r="D132" s="2" t="s">
        <v>18</v>
      </c>
      <c r="E132" s="2">
        <v>50735.63</v>
      </c>
      <c r="F132" s="2">
        <v>9619</v>
      </c>
      <c r="G132" s="2">
        <v>0.14399999999999999</v>
      </c>
      <c r="H132" s="2">
        <v>19</v>
      </c>
      <c r="I132" s="2">
        <v>93.8</v>
      </c>
      <c r="J132" s="2">
        <v>5.12</v>
      </c>
      <c r="K132" s="2">
        <v>1</v>
      </c>
      <c r="L132" s="2">
        <v>4.5</v>
      </c>
      <c r="M132" s="2">
        <v>725235.28</v>
      </c>
      <c r="N132" s="2">
        <v>121632.24</v>
      </c>
    </row>
    <row r="133" spans="1:14">
      <c r="A133" s="2" t="s">
        <v>54</v>
      </c>
      <c r="B133" s="3">
        <v>45748</v>
      </c>
      <c r="C133" s="2" t="s">
        <v>15</v>
      </c>
      <c r="D133" s="2" t="s">
        <v>18</v>
      </c>
      <c r="E133" s="2">
        <v>66455.8</v>
      </c>
      <c r="F133" s="2">
        <v>10836</v>
      </c>
      <c r="G133" s="2">
        <v>8.8999999999999996E-2</v>
      </c>
      <c r="H133" s="2">
        <v>25</v>
      </c>
      <c r="I133" s="2">
        <v>85</v>
      </c>
      <c r="J133" s="2">
        <v>9.77</v>
      </c>
      <c r="K133" s="2">
        <v>0</v>
      </c>
      <c r="L133" s="2">
        <v>4.5</v>
      </c>
      <c r="M133" s="2">
        <v>811452.72</v>
      </c>
      <c r="N133" s="2">
        <v>131325.67000000001</v>
      </c>
    </row>
    <row r="134" spans="1:14">
      <c r="A134" s="2" t="s">
        <v>55</v>
      </c>
      <c r="B134" s="3">
        <v>45658</v>
      </c>
      <c r="C134" s="2" t="s">
        <v>20</v>
      </c>
      <c r="D134" s="2" t="s">
        <v>18</v>
      </c>
      <c r="E134" s="2">
        <v>70276.28</v>
      </c>
      <c r="F134" s="2">
        <v>3043</v>
      </c>
      <c r="G134" s="2">
        <v>7.9000000000000001E-2</v>
      </c>
      <c r="H134" s="2">
        <v>9</v>
      </c>
      <c r="I134" s="2">
        <v>87.9</v>
      </c>
      <c r="J134" s="2">
        <v>3.77</v>
      </c>
      <c r="K134" s="2">
        <v>0</v>
      </c>
      <c r="L134" s="2">
        <v>4.4000000000000004</v>
      </c>
      <c r="M134" s="2">
        <v>527300.13</v>
      </c>
      <c r="N134" s="2">
        <v>84197.87</v>
      </c>
    </row>
    <row r="135" spans="1:14">
      <c r="A135" s="2" t="s">
        <v>55</v>
      </c>
      <c r="B135" s="3">
        <v>45689</v>
      </c>
      <c r="C135" s="2" t="s">
        <v>20</v>
      </c>
      <c r="D135" s="2" t="s">
        <v>18</v>
      </c>
      <c r="E135" s="2">
        <v>22071.64</v>
      </c>
      <c r="F135" s="2">
        <v>1814</v>
      </c>
      <c r="G135" s="2">
        <v>0.19600000000000001</v>
      </c>
      <c r="H135" s="2">
        <v>8</v>
      </c>
      <c r="I135" s="2">
        <v>81.099999999999994</v>
      </c>
      <c r="J135" s="2">
        <v>0.78</v>
      </c>
      <c r="K135" s="2">
        <v>0</v>
      </c>
      <c r="L135" s="2"/>
      <c r="M135" s="2">
        <v>400831.65</v>
      </c>
      <c r="N135" s="2">
        <v>70979.31</v>
      </c>
    </row>
    <row r="136" spans="1:14">
      <c r="A136" s="2" t="s">
        <v>55</v>
      </c>
      <c r="B136" s="3">
        <v>45717</v>
      </c>
      <c r="C136" s="2" t="s">
        <v>20</v>
      </c>
      <c r="D136" s="2" t="s">
        <v>18</v>
      </c>
      <c r="E136" s="2">
        <v>52285.45</v>
      </c>
      <c r="F136" s="2">
        <v>3618</v>
      </c>
      <c r="G136" s="2">
        <v>8.5999999999999993E-2</v>
      </c>
      <c r="H136" s="2">
        <v>11</v>
      </c>
      <c r="I136" s="2">
        <v>95.6</v>
      </c>
      <c r="J136" s="2">
        <v>5.17</v>
      </c>
      <c r="K136" s="2">
        <v>1</v>
      </c>
      <c r="L136" s="2">
        <v>4.4000000000000004</v>
      </c>
      <c r="M136" s="2">
        <v>593247.25</v>
      </c>
      <c r="N136" s="2">
        <v>81240.289999999994</v>
      </c>
    </row>
    <row r="137" spans="1:14">
      <c r="A137" s="2" t="s">
        <v>55</v>
      </c>
      <c r="B137" s="3">
        <v>45748</v>
      </c>
      <c r="C137" s="2" t="s">
        <v>20</v>
      </c>
      <c r="D137" s="2" t="s">
        <v>18</v>
      </c>
      <c r="E137" s="2">
        <v>70366.759999999995</v>
      </c>
      <c r="F137" s="2">
        <v>1963</v>
      </c>
      <c r="G137" s="2">
        <v>0.182</v>
      </c>
      <c r="H137" s="2">
        <v>8</v>
      </c>
      <c r="I137" s="2">
        <v>89.8</v>
      </c>
      <c r="J137" s="2">
        <v>3.2</v>
      </c>
      <c r="K137" s="2">
        <v>0</v>
      </c>
      <c r="L137" s="2">
        <v>4.5999999999999996</v>
      </c>
      <c r="M137" s="2">
        <v>529075.94999999995</v>
      </c>
      <c r="N137" s="2">
        <v>95978.83</v>
      </c>
    </row>
    <row r="138" spans="1:14">
      <c r="A138" s="2" t="s">
        <v>56</v>
      </c>
      <c r="B138" s="3">
        <v>45658</v>
      </c>
      <c r="C138" s="2" t="s">
        <v>24</v>
      </c>
      <c r="D138" s="2" t="s">
        <v>16</v>
      </c>
      <c r="E138" s="2">
        <v>71320.66</v>
      </c>
      <c r="F138" s="2">
        <v>7888</v>
      </c>
      <c r="G138" s="2">
        <v>4.8000000000000001E-2</v>
      </c>
      <c r="H138" s="2">
        <v>20</v>
      </c>
      <c r="I138" s="2">
        <v>78.099999999999994</v>
      </c>
      <c r="J138" s="2">
        <v>3.4</v>
      </c>
      <c r="K138" s="2">
        <v>0</v>
      </c>
      <c r="L138" s="2"/>
      <c r="M138" s="2">
        <v>633638.03</v>
      </c>
      <c r="N138" s="2">
        <v>99402.01</v>
      </c>
    </row>
    <row r="139" spans="1:14">
      <c r="A139" s="2" t="s">
        <v>56</v>
      </c>
      <c r="B139" s="3">
        <v>45689</v>
      </c>
      <c r="C139" s="2" t="s">
        <v>24</v>
      </c>
      <c r="D139" s="2" t="s">
        <v>16</v>
      </c>
      <c r="E139" s="2">
        <v>75109.67</v>
      </c>
      <c r="F139" s="2">
        <v>6244</v>
      </c>
      <c r="G139" s="2">
        <v>7.9000000000000001E-2</v>
      </c>
      <c r="H139" s="2">
        <v>15</v>
      </c>
      <c r="I139" s="2">
        <v>96.3</v>
      </c>
      <c r="J139" s="2">
        <v>7.38</v>
      </c>
      <c r="K139" s="2">
        <v>0</v>
      </c>
      <c r="L139" s="2">
        <v>3.7</v>
      </c>
      <c r="M139" s="2">
        <v>743348.84</v>
      </c>
      <c r="N139" s="2">
        <v>104186.09</v>
      </c>
    </row>
    <row r="140" spans="1:14">
      <c r="A140" s="2" t="s">
        <v>56</v>
      </c>
      <c r="B140" s="3">
        <v>45717</v>
      </c>
      <c r="C140" s="2" t="s">
        <v>24</v>
      </c>
      <c r="D140" s="2" t="s">
        <v>16</v>
      </c>
      <c r="E140" s="2">
        <v>69779</v>
      </c>
      <c r="F140" s="2">
        <v>6544</v>
      </c>
      <c r="G140" s="2">
        <v>0.152</v>
      </c>
      <c r="H140" s="2">
        <v>18</v>
      </c>
      <c r="I140" s="2">
        <v>90.2</v>
      </c>
      <c r="J140" s="2">
        <v>0.85</v>
      </c>
      <c r="K140" s="2">
        <v>1</v>
      </c>
      <c r="L140" s="2">
        <v>3.3</v>
      </c>
      <c r="M140" s="2">
        <v>758827.64</v>
      </c>
      <c r="N140" s="2">
        <v>161439.48000000001</v>
      </c>
    </row>
    <row r="141" spans="1:14">
      <c r="A141" s="2" t="s">
        <v>56</v>
      </c>
      <c r="B141" s="3">
        <v>45748</v>
      </c>
      <c r="C141" s="2" t="s">
        <v>24</v>
      </c>
      <c r="D141" s="2" t="s">
        <v>16</v>
      </c>
      <c r="E141" s="2">
        <v>44211.95</v>
      </c>
      <c r="F141" s="2">
        <v>5465</v>
      </c>
      <c r="G141" s="2">
        <v>0.187</v>
      </c>
      <c r="H141" s="2">
        <v>12</v>
      </c>
      <c r="I141" s="2">
        <v>90</v>
      </c>
      <c r="J141" s="2">
        <v>2.89</v>
      </c>
      <c r="K141" s="2">
        <v>0</v>
      </c>
      <c r="L141" s="2">
        <v>3.6</v>
      </c>
      <c r="M141" s="2">
        <v>646559.71</v>
      </c>
      <c r="N141" s="2">
        <v>97981.75</v>
      </c>
    </row>
    <row r="142" spans="1:14">
      <c r="A142" s="2" t="s">
        <v>57</v>
      </c>
      <c r="B142" s="3">
        <v>45658</v>
      </c>
      <c r="C142" s="2" t="s">
        <v>27</v>
      </c>
      <c r="D142" s="2" t="s">
        <v>18</v>
      </c>
      <c r="E142" s="2">
        <v>51430.31</v>
      </c>
      <c r="F142" s="2">
        <v>6427</v>
      </c>
      <c r="G142" s="2">
        <v>0.23400000000000001</v>
      </c>
      <c r="H142" s="2">
        <v>14</v>
      </c>
      <c r="I142" s="2">
        <v>88.8</v>
      </c>
      <c r="J142" s="2">
        <v>0.77</v>
      </c>
      <c r="K142" s="2">
        <v>0</v>
      </c>
      <c r="L142" s="2">
        <v>4.0999999999999996</v>
      </c>
      <c r="M142" s="2">
        <v>715890.53</v>
      </c>
      <c r="N142" s="2">
        <v>109032.15</v>
      </c>
    </row>
    <row r="143" spans="1:14">
      <c r="A143" s="2" t="s">
        <v>57</v>
      </c>
      <c r="B143" s="3">
        <v>45689</v>
      </c>
      <c r="C143" s="2" t="s">
        <v>27</v>
      </c>
      <c r="D143" s="2" t="s">
        <v>18</v>
      </c>
      <c r="E143" s="2">
        <v>45706.49</v>
      </c>
      <c r="F143" s="2">
        <v>6704</v>
      </c>
      <c r="G143" s="2">
        <v>3.7999999999999999E-2</v>
      </c>
      <c r="H143" s="2">
        <v>15</v>
      </c>
      <c r="I143" s="2">
        <v>94.2</v>
      </c>
      <c r="J143" s="2">
        <v>2.92</v>
      </c>
      <c r="K143" s="2">
        <v>0</v>
      </c>
      <c r="L143" s="2">
        <v>4.2</v>
      </c>
      <c r="M143" s="2">
        <v>715097.57</v>
      </c>
      <c r="N143" s="2">
        <v>151875.85999999999</v>
      </c>
    </row>
    <row r="144" spans="1:14">
      <c r="A144" s="2" t="s">
        <v>57</v>
      </c>
      <c r="B144" s="3">
        <v>45717</v>
      </c>
      <c r="C144" s="2" t="s">
        <v>27</v>
      </c>
      <c r="D144" s="2" t="s">
        <v>18</v>
      </c>
      <c r="E144" s="2">
        <v>44034.6</v>
      </c>
      <c r="F144" s="2">
        <v>5645</v>
      </c>
      <c r="G144" s="2">
        <v>6.9000000000000006E-2</v>
      </c>
      <c r="H144" s="2">
        <v>18</v>
      </c>
      <c r="I144" s="2">
        <v>88.5</v>
      </c>
      <c r="J144" s="2">
        <v>3.07</v>
      </c>
      <c r="K144" s="2">
        <v>0</v>
      </c>
      <c r="L144" s="2">
        <v>3.8</v>
      </c>
      <c r="M144" s="2">
        <v>682639.28</v>
      </c>
      <c r="N144" s="2">
        <v>77557.53</v>
      </c>
    </row>
    <row r="145" spans="1:14">
      <c r="A145" s="2" t="s">
        <v>57</v>
      </c>
      <c r="B145" s="3">
        <v>45748</v>
      </c>
      <c r="C145" s="2" t="s">
        <v>27</v>
      </c>
      <c r="D145" s="2" t="s">
        <v>18</v>
      </c>
      <c r="E145" s="2">
        <v>50198.12</v>
      </c>
      <c r="F145" s="2">
        <v>6089</v>
      </c>
      <c r="G145" s="2">
        <v>0.182</v>
      </c>
      <c r="H145" s="2">
        <v>19</v>
      </c>
      <c r="I145" s="2">
        <v>94</v>
      </c>
      <c r="J145" s="2">
        <v>9.6999999999999993</v>
      </c>
      <c r="K145" s="2">
        <v>0</v>
      </c>
      <c r="L145" s="2">
        <v>3.9</v>
      </c>
      <c r="M145" s="2">
        <v>695098.51</v>
      </c>
      <c r="N145" s="2">
        <v>108192.75</v>
      </c>
    </row>
    <row r="146" spans="1:14">
      <c r="A146" s="2" t="s">
        <v>58</v>
      </c>
      <c r="B146" s="3">
        <v>45658</v>
      </c>
      <c r="C146" s="2" t="s">
        <v>20</v>
      </c>
      <c r="D146" s="2" t="s">
        <v>16</v>
      </c>
      <c r="E146" s="2">
        <v>70488.2</v>
      </c>
      <c r="F146" s="2">
        <v>4312</v>
      </c>
      <c r="G146" s="2">
        <v>0.16900000000000001</v>
      </c>
      <c r="H146" s="2">
        <v>12</v>
      </c>
      <c r="I146" s="2">
        <v>90.2</v>
      </c>
      <c r="J146" s="2">
        <v>3.71</v>
      </c>
      <c r="K146" s="2">
        <v>0</v>
      </c>
      <c r="L146" s="2">
        <v>3.2</v>
      </c>
      <c r="M146" s="2">
        <v>577732.56999999995</v>
      </c>
      <c r="N146" s="2">
        <v>93804.27</v>
      </c>
    </row>
    <row r="147" spans="1:14">
      <c r="A147" s="2" t="s">
        <v>58</v>
      </c>
      <c r="B147" s="3">
        <v>45689</v>
      </c>
      <c r="C147" s="2" t="s">
        <v>20</v>
      </c>
      <c r="D147" s="2" t="s">
        <v>16</v>
      </c>
      <c r="E147" s="2">
        <v>50909.27</v>
      </c>
      <c r="F147" s="2">
        <v>3152</v>
      </c>
      <c r="G147" s="2">
        <v>0.06</v>
      </c>
      <c r="H147" s="2">
        <v>13</v>
      </c>
      <c r="I147" s="2">
        <v>93.7</v>
      </c>
      <c r="J147" s="2">
        <v>10.79</v>
      </c>
      <c r="K147" s="2">
        <v>0</v>
      </c>
      <c r="L147" s="2">
        <v>3.5</v>
      </c>
      <c r="M147" s="2">
        <v>537058.32999999996</v>
      </c>
      <c r="N147" s="2">
        <v>93555.71</v>
      </c>
    </row>
    <row r="148" spans="1:14">
      <c r="A148" s="2" t="s">
        <v>58</v>
      </c>
      <c r="B148" s="3">
        <v>45717</v>
      </c>
      <c r="C148" s="2" t="s">
        <v>20</v>
      </c>
      <c r="D148" s="2" t="s">
        <v>16</v>
      </c>
      <c r="E148" s="2">
        <v>53351.7</v>
      </c>
      <c r="F148" s="2">
        <v>4259</v>
      </c>
      <c r="G148" s="2">
        <v>0.156</v>
      </c>
      <c r="H148" s="2">
        <v>15</v>
      </c>
      <c r="I148" s="2">
        <v>93.7</v>
      </c>
      <c r="J148" s="2">
        <v>6.03</v>
      </c>
      <c r="K148" s="2">
        <v>0</v>
      </c>
      <c r="L148" s="2">
        <v>3.4</v>
      </c>
      <c r="M148" s="2">
        <v>601568.87</v>
      </c>
      <c r="N148" s="2">
        <v>91634.82</v>
      </c>
    </row>
    <row r="149" spans="1:14">
      <c r="A149" s="2" t="s">
        <v>58</v>
      </c>
      <c r="B149" s="3">
        <v>45748</v>
      </c>
      <c r="C149" s="2" t="s">
        <v>20</v>
      </c>
      <c r="D149" s="2" t="s">
        <v>16</v>
      </c>
      <c r="E149" s="2">
        <v>60322.400000000001</v>
      </c>
      <c r="F149" s="2">
        <v>3350</v>
      </c>
      <c r="G149" s="2">
        <v>0.108</v>
      </c>
      <c r="H149" s="2">
        <v>12</v>
      </c>
      <c r="I149" s="2">
        <v>89.4</v>
      </c>
      <c r="J149" s="2">
        <v>4.92</v>
      </c>
      <c r="K149" s="2">
        <v>0</v>
      </c>
      <c r="L149" s="2">
        <v>3.4</v>
      </c>
      <c r="M149" s="2">
        <v>570964.84</v>
      </c>
      <c r="N149" s="2">
        <v>81331.070000000007</v>
      </c>
    </row>
    <row r="150" spans="1:14">
      <c r="A150" s="2" t="s">
        <v>59</v>
      </c>
      <c r="B150" s="3">
        <v>45658</v>
      </c>
      <c r="C150" s="2" t="s">
        <v>24</v>
      </c>
      <c r="D150" s="2" t="s">
        <v>28</v>
      </c>
      <c r="E150" s="2">
        <v>51575.68</v>
      </c>
      <c r="F150" s="2">
        <v>5329</v>
      </c>
      <c r="G150" s="2">
        <v>4.7E-2</v>
      </c>
      <c r="H150" s="2">
        <v>17</v>
      </c>
      <c r="I150" s="2">
        <v>88.1</v>
      </c>
      <c r="J150" s="2">
        <v>19.78</v>
      </c>
      <c r="K150" s="2">
        <v>0</v>
      </c>
      <c r="L150" s="2">
        <v>3.8</v>
      </c>
      <c r="M150" s="2">
        <v>614024.91</v>
      </c>
      <c r="N150" s="2">
        <v>84828.93</v>
      </c>
    </row>
    <row r="151" spans="1:14">
      <c r="A151" s="2" t="s">
        <v>59</v>
      </c>
      <c r="B151" s="3">
        <v>45689</v>
      </c>
      <c r="C151" s="2" t="s">
        <v>24</v>
      </c>
      <c r="D151" s="2" t="s">
        <v>28</v>
      </c>
      <c r="E151" s="2">
        <v>43319.94</v>
      </c>
      <c r="F151" s="2">
        <v>6551</v>
      </c>
      <c r="G151" s="2">
        <v>4.3999999999999997E-2</v>
      </c>
      <c r="H151" s="2">
        <v>13</v>
      </c>
      <c r="I151" s="2">
        <v>99</v>
      </c>
      <c r="J151" s="2">
        <v>5.45</v>
      </c>
      <c r="K151" s="2">
        <v>0</v>
      </c>
      <c r="L151" s="2">
        <v>4.0999999999999996</v>
      </c>
      <c r="M151" s="2">
        <v>712868.35</v>
      </c>
      <c r="N151" s="2">
        <v>133650.51</v>
      </c>
    </row>
    <row r="152" spans="1:14">
      <c r="A152" s="2" t="s">
        <v>59</v>
      </c>
      <c r="B152" s="3">
        <v>45717</v>
      </c>
      <c r="C152" s="2" t="s">
        <v>24</v>
      </c>
      <c r="D152" s="2" t="s">
        <v>28</v>
      </c>
      <c r="E152" s="2">
        <v>47093.55</v>
      </c>
      <c r="F152" s="2">
        <v>5550</v>
      </c>
      <c r="G152" s="2">
        <v>0.1</v>
      </c>
      <c r="H152" s="2">
        <v>12</v>
      </c>
      <c r="I152" s="2">
        <v>95</v>
      </c>
      <c r="J152" s="2">
        <v>2.33</v>
      </c>
      <c r="K152" s="2">
        <v>1</v>
      </c>
      <c r="L152" s="2">
        <v>3.7</v>
      </c>
      <c r="M152" s="2">
        <v>696744.15</v>
      </c>
      <c r="N152" s="2">
        <v>152230.09</v>
      </c>
    </row>
    <row r="153" spans="1:14">
      <c r="A153" s="2" t="s">
        <v>59</v>
      </c>
      <c r="B153" s="3">
        <v>45748</v>
      </c>
      <c r="C153" s="2" t="s">
        <v>24</v>
      </c>
      <c r="D153" s="2" t="s">
        <v>28</v>
      </c>
      <c r="E153" s="2">
        <v>71855.09</v>
      </c>
      <c r="F153" s="2">
        <v>5911</v>
      </c>
      <c r="G153" s="2">
        <v>0.19700000000000001</v>
      </c>
      <c r="H153" s="2">
        <v>15</v>
      </c>
      <c r="I153" s="2">
        <v>94.3</v>
      </c>
      <c r="J153" s="2">
        <v>3.55</v>
      </c>
      <c r="K153" s="2">
        <v>0</v>
      </c>
      <c r="L153" s="2">
        <v>4.0999999999999996</v>
      </c>
      <c r="M153" s="2">
        <v>725847.99</v>
      </c>
      <c r="N153" s="2">
        <v>122698.73</v>
      </c>
    </row>
    <row r="154" spans="1:14">
      <c r="A154" s="2" t="s">
        <v>60</v>
      </c>
      <c r="B154" s="3">
        <v>45658</v>
      </c>
      <c r="C154" s="2" t="s">
        <v>15</v>
      </c>
      <c r="D154" s="2" t="s">
        <v>18</v>
      </c>
      <c r="E154" s="2">
        <v>75645.23</v>
      </c>
      <c r="F154" s="2">
        <v>9674</v>
      </c>
      <c r="G154" s="2">
        <v>0.23400000000000001</v>
      </c>
      <c r="H154" s="2">
        <v>21</v>
      </c>
      <c r="I154" s="2">
        <v>87.4</v>
      </c>
      <c r="J154" s="2">
        <v>0.2</v>
      </c>
      <c r="K154" s="2">
        <v>0</v>
      </c>
      <c r="L154" s="2">
        <v>4.5</v>
      </c>
      <c r="M154" s="2">
        <v>785028.25</v>
      </c>
      <c r="N154" s="2">
        <v>110726.44</v>
      </c>
    </row>
    <row r="155" spans="1:14">
      <c r="A155" s="2" t="s">
        <v>60</v>
      </c>
      <c r="B155" s="3">
        <v>45689</v>
      </c>
      <c r="C155" s="2" t="s">
        <v>15</v>
      </c>
      <c r="D155" s="2" t="s">
        <v>18</v>
      </c>
      <c r="E155" s="2">
        <v>64374.75</v>
      </c>
      <c r="F155" s="2">
        <v>6740</v>
      </c>
      <c r="G155" s="2">
        <v>0.16900000000000001</v>
      </c>
      <c r="H155" s="2">
        <v>18</v>
      </c>
      <c r="I155" s="2">
        <v>87</v>
      </c>
      <c r="J155" s="2">
        <v>2.09</v>
      </c>
      <c r="K155" s="2">
        <v>0</v>
      </c>
      <c r="L155" s="2">
        <v>4.2</v>
      </c>
      <c r="M155" s="2">
        <v>698492.67</v>
      </c>
      <c r="N155" s="2">
        <v>117319.32</v>
      </c>
    </row>
    <row r="156" spans="1:14">
      <c r="A156" s="2" t="s">
        <v>60</v>
      </c>
      <c r="B156" s="3">
        <v>45717</v>
      </c>
      <c r="C156" s="2" t="s">
        <v>15</v>
      </c>
      <c r="D156" s="2" t="s">
        <v>18</v>
      </c>
      <c r="E156" s="2">
        <v>61433.84</v>
      </c>
      <c r="F156" s="2">
        <v>7745</v>
      </c>
      <c r="G156" s="2">
        <v>0.18</v>
      </c>
      <c r="H156" s="2">
        <v>16</v>
      </c>
      <c r="I156" s="2">
        <v>90.5</v>
      </c>
      <c r="J156" s="2">
        <v>2.2599999999999998</v>
      </c>
      <c r="K156" s="2">
        <v>0</v>
      </c>
      <c r="L156" s="2">
        <v>4.2</v>
      </c>
      <c r="M156" s="2">
        <v>685830.24</v>
      </c>
      <c r="N156" s="2">
        <v>128736.18</v>
      </c>
    </row>
    <row r="157" spans="1:14">
      <c r="A157" s="2" t="s">
        <v>60</v>
      </c>
      <c r="B157" s="3">
        <v>45748</v>
      </c>
      <c r="C157" s="2" t="s">
        <v>15</v>
      </c>
      <c r="D157" s="2" t="s">
        <v>18</v>
      </c>
      <c r="E157" s="2">
        <v>42698.14</v>
      </c>
      <c r="F157" s="2">
        <v>7693</v>
      </c>
      <c r="G157" s="2">
        <v>0.187</v>
      </c>
      <c r="H157" s="2">
        <v>19</v>
      </c>
      <c r="I157" s="2">
        <v>90.1</v>
      </c>
      <c r="J157" s="2">
        <v>0.44</v>
      </c>
      <c r="K157" s="2">
        <v>0</v>
      </c>
      <c r="L157" s="2">
        <v>4.4000000000000004</v>
      </c>
      <c r="M157" s="2">
        <v>702318.94</v>
      </c>
      <c r="N157" s="2">
        <v>112829.29</v>
      </c>
    </row>
    <row r="158" spans="1:14">
      <c r="A158" s="2" t="s">
        <v>61</v>
      </c>
      <c r="B158" s="3">
        <v>45658</v>
      </c>
      <c r="C158" s="2" t="s">
        <v>20</v>
      </c>
      <c r="D158" s="2" t="s">
        <v>28</v>
      </c>
      <c r="E158" s="2">
        <v>86883.31</v>
      </c>
      <c r="F158" s="2">
        <v>6424</v>
      </c>
      <c r="G158" s="2">
        <v>5.7000000000000002E-2</v>
      </c>
      <c r="H158" s="2">
        <v>19</v>
      </c>
      <c r="I158" s="2">
        <v>85.2</v>
      </c>
      <c r="J158" s="2">
        <v>3.08</v>
      </c>
      <c r="K158" s="2">
        <v>0</v>
      </c>
      <c r="L158" s="2">
        <v>3.9</v>
      </c>
      <c r="M158" s="2">
        <v>700078.32</v>
      </c>
      <c r="N158" s="2">
        <v>123707.58</v>
      </c>
    </row>
    <row r="159" spans="1:14">
      <c r="A159" s="2" t="s">
        <v>61</v>
      </c>
      <c r="B159" s="3">
        <v>45689</v>
      </c>
      <c r="C159" s="2" t="s">
        <v>20</v>
      </c>
      <c r="D159" s="2" t="s">
        <v>28</v>
      </c>
      <c r="E159" s="2">
        <v>41863.08</v>
      </c>
      <c r="F159" s="2">
        <v>5400</v>
      </c>
      <c r="G159" s="2">
        <v>0.114</v>
      </c>
      <c r="H159" s="2">
        <v>11</v>
      </c>
      <c r="I159" s="2">
        <v>91.6</v>
      </c>
      <c r="J159" s="2">
        <v>7.99</v>
      </c>
      <c r="K159" s="2">
        <v>0</v>
      </c>
      <c r="L159" s="2">
        <v>3</v>
      </c>
      <c r="M159" s="2">
        <v>602002.31999999995</v>
      </c>
      <c r="N159" s="2">
        <v>110453.28</v>
      </c>
    </row>
    <row r="160" spans="1:14">
      <c r="A160" s="2" t="s">
        <v>61</v>
      </c>
      <c r="B160" s="3">
        <v>45717</v>
      </c>
      <c r="C160" s="2" t="s">
        <v>20</v>
      </c>
      <c r="D160" s="2" t="s">
        <v>28</v>
      </c>
      <c r="E160" s="2">
        <v>56918.16</v>
      </c>
      <c r="F160" s="2">
        <v>7015</v>
      </c>
      <c r="G160" s="2">
        <v>0.158</v>
      </c>
      <c r="H160" s="2">
        <v>18</v>
      </c>
      <c r="I160" s="2">
        <v>74.2</v>
      </c>
      <c r="J160" s="2">
        <v>0.2</v>
      </c>
      <c r="K160" s="2">
        <v>0</v>
      </c>
      <c r="L160" s="2">
        <v>3.4</v>
      </c>
      <c r="M160" s="2">
        <v>724216.07</v>
      </c>
      <c r="N160" s="2">
        <v>100627.56</v>
      </c>
    </row>
    <row r="161" spans="1:14">
      <c r="A161" s="2" t="s">
        <v>61</v>
      </c>
      <c r="B161" s="3">
        <v>45748</v>
      </c>
      <c r="C161" s="2" t="s">
        <v>20</v>
      </c>
      <c r="D161" s="2" t="s">
        <v>28</v>
      </c>
      <c r="E161" s="2">
        <v>23254.57</v>
      </c>
      <c r="F161" s="2">
        <v>3847</v>
      </c>
      <c r="G161" s="2">
        <v>0.159</v>
      </c>
      <c r="H161" s="2">
        <v>12</v>
      </c>
      <c r="I161" s="2">
        <v>93</v>
      </c>
      <c r="J161" s="2">
        <v>5.46</v>
      </c>
      <c r="K161" s="2">
        <v>0</v>
      </c>
      <c r="L161" s="2">
        <v>3.3</v>
      </c>
      <c r="M161" s="2">
        <v>620973.03</v>
      </c>
      <c r="N161" s="2">
        <v>72303.850000000006</v>
      </c>
    </row>
    <row r="162" spans="1:14">
      <c r="A162" s="2" t="s">
        <v>62</v>
      </c>
      <c r="B162" s="3">
        <v>45658</v>
      </c>
      <c r="C162" s="2" t="s">
        <v>24</v>
      </c>
      <c r="D162" s="2" t="s">
        <v>18</v>
      </c>
      <c r="E162" s="2">
        <v>41443.410000000003</v>
      </c>
      <c r="F162" s="2">
        <v>7455</v>
      </c>
      <c r="G162" s="2">
        <v>0.17499999999999999</v>
      </c>
      <c r="H162" s="2">
        <v>16</v>
      </c>
      <c r="I162" s="2">
        <v>90.1</v>
      </c>
      <c r="J162" s="2">
        <v>4.05</v>
      </c>
      <c r="K162" s="2">
        <v>0</v>
      </c>
      <c r="L162" s="2">
        <v>4</v>
      </c>
      <c r="M162" s="2">
        <v>650480.06000000006</v>
      </c>
      <c r="N162" s="2">
        <v>109012.07</v>
      </c>
    </row>
    <row r="163" spans="1:14">
      <c r="A163" s="2" t="s">
        <v>62</v>
      </c>
      <c r="B163" s="3">
        <v>45689</v>
      </c>
      <c r="C163" s="2" t="s">
        <v>24</v>
      </c>
      <c r="D163" s="2" t="s">
        <v>18</v>
      </c>
      <c r="E163" s="2">
        <v>48438.85</v>
      </c>
      <c r="F163" s="2">
        <v>6992</v>
      </c>
      <c r="G163" s="2">
        <v>3.4000000000000002E-2</v>
      </c>
      <c r="H163" s="2">
        <v>20</v>
      </c>
      <c r="I163" s="2">
        <v>91</v>
      </c>
      <c r="J163" s="2">
        <v>4.3600000000000003</v>
      </c>
      <c r="K163" s="2">
        <v>0</v>
      </c>
      <c r="L163" s="2">
        <v>4.2</v>
      </c>
      <c r="M163" s="2">
        <v>778298.88</v>
      </c>
      <c r="N163" s="2">
        <v>130076.72</v>
      </c>
    </row>
    <row r="164" spans="1:14">
      <c r="A164" s="2" t="s">
        <v>62</v>
      </c>
      <c r="B164" s="3">
        <v>45717</v>
      </c>
      <c r="C164" s="2" t="s">
        <v>24</v>
      </c>
      <c r="D164" s="2" t="s">
        <v>18</v>
      </c>
      <c r="E164" s="2">
        <v>57143.3</v>
      </c>
      <c r="F164" s="2">
        <v>8038</v>
      </c>
      <c r="G164" s="2">
        <v>0.193</v>
      </c>
      <c r="H164" s="2">
        <v>17</v>
      </c>
      <c r="I164" s="2">
        <v>72.599999999999994</v>
      </c>
      <c r="J164" s="2"/>
      <c r="K164" s="2">
        <v>0</v>
      </c>
      <c r="L164" s="2">
        <v>4.2</v>
      </c>
      <c r="M164" s="2">
        <v>677096.71</v>
      </c>
      <c r="N164" s="2">
        <v>97174.11</v>
      </c>
    </row>
    <row r="165" spans="1:14">
      <c r="A165" s="2" t="s">
        <v>62</v>
      </c>
      <c r="B165" s="3">
        <v>45748</v>
      </c>
      <c r="C165" s="2" t="s">
        <v>24</v>
      </c>
      <c r="D165" s="2" t="s">
        <v>18</v>
      </c>
      <c r="E165" s="2">
        <v>66870.62</v>
      </c>
      <c r="F165" s="2">
        <v>6055</v>
      </c>
      <c r="G165" s="2">
        <v>7.4999999999999997E-2</v>
      </c>
      <c r="H165" s="2">
        <v>19</v>
      </c>
      <c r="I165" s="2">
        <v>93.8</v>
      </c>
      <c r="J165" s="2">
        <v>0.54</v>
      </c>
      <c r="K165" s="2">
        <v>0</v>
      </c>
      <c r="L165" s="2">
        <v>4.3</v>
      </c>
      <c r="M165" s="2">
        <v>692008.64</v>
      </c>
      <c r="N165" s="2">
        <v>116337.87</v>
      </c>
    </row>
    <row r="166" spans="1:14">
      <c r="A166" s="2" t="s">
        <v>63</v>
      </c>
      <c r="B166" s="3">
        <v>45658</v>
      </c>
      <c r="C166" s="2" t="s">
        <v>20</v>
      </c>
      <c r="D166" s="2" t="s">
        <v>28</v>
      </c>
      <c r="E166" s="2">
        <v>72150.53</v>
      </c>
      <c r="F166" s="2">
        <v>9323</v>
      </c>
      <c r="G166" s="2">
        <v>0.157</v>
      </c>
      <c r="H166" s="2">
        <v>22</v>
      </c>
      <c r="I166" s="2">
        <v>82.9</v>
      </c>
      <c r="J166" s="2">
        <v>11.37</v>
      </c>
      <c r="K166" s="2">
        <v>1</v>
      </c>
      <c r="L166" s="2">
        <v>4.3</v>
      </c>
      <c r="M166" s="2">
        <v>825797.91</v>
      </c>
      <c r="N166" s="2">
        <v>130945.24</v>
      </c>
    </row>
    <row r="167" spans="1:14">
      <c r="A167" s="2" t="s">
        <v>63</v>
      </c>
      <c r="B167" s="3">
        <v>45689</v>
      </c>
      <c r="C167" s="2" t="s">
        <v>20</v>
      </c>
      <c r="D167" s="2" t="s">
        <v>28</v>
      </c>
      <c r="E167" s="2">
        <v>35303.300000000003</v>
      </c>
      <c r="F167" s="2">
        <v>8789</v>
      </c>
      <c r="G167" s="2">
        <v>0.123</v>
      </c>
      <c r="H167" s="2">
        <v>22</v>
      </c>
      <c r="I167" s="2">
        <v>86.1</v>
      </c>
      <c r="J167" s="2">
        <v>9.43</v>
      </c>
      <c r="K167" s="2">
        <v>0</v>
      </c>
      <c r="L167" s="2">
        <v>4.2</v>
      </c>
      <c r="M167" s="2">
        <v>706285.52</v>
      </c>
      <c r="N167" s="2">
        <v>138014.72</v>
      </c>
    </row>
    <row r="168" spans="1:14">
      <c r="A168" s="2" t="s">
        <v>63</v>
      </c>
      <c r="B168" s="3">
        <v>45717</v>
      </c>
      <c r="C168" s="2" t="s">
        <v>20</v>
      </c>
      <c r="D168" s="2" t="s">
        <v>28</v>
      </c>
      <c r="E168" s="2">
        <v>30301.86</v>
      </c>
      <c r="F168" s="2">
        <v>6939</v>
      </c>
      <c r="G168" s="2">
        <v>0.09</v>
      </c>
      <c r="H168" s="2">
        <v>16</v>
      </c>
      <c r="I168" s="2">
        <v>90.3</v>
      </c>
      <c r="J168" s="2">
        <v>3.49</v>
      </c>
      <c r="K168" s="2">
        <v>0</v>
      </c>
      <c r="L168" s="2">
        <v>4</v>
      </c>
      <c r="M168" s="2">
        <v>665534.69999999995</v>
      </c>
      <c r="N168" s="2">
        <v>113167.73</v>
      </c>
    </row>
    <row r="169" spans="1:14">
      <c r="A169" s="2" t="s">
        <v>63</v>
      </c>
      <c r="B169" s="3">
        <v>45748</v>
      </c>
      <c r="C169" s="2" t="s">
        <v>20</v>
      </c>
      <c r="D169" s="2" t="s">
        <v>28</v>
      </c>
      <c r="E169" s="2">
        <v>78432.14</v>
      </c>
      <c r="F169" s="2">
        <v>9440</v>
      </c>
      <c r="G169" s="2">
        <v>0.126</v>
      </c>
      <c r="H169" s="2">
        <v>23</v>
      </c>
      <c r="I169" s="2">
        <v>89.2</v>
      </c>
      <c r="J169" s="2">
        <v>7.86</v>
      </c>
      <c r="K169" s="2">
        <v>0</v>
      </c>
      <c r="L169" s="2">
        <v>4.0999999999999996</v>
      </c>
      <c r="M169" s="2">
        <v>820729.29</v>
      </c>
      <c r="N169" s="2">
        <v>159325.47</v>
      </c>
    </row>
    <row r="170" spans="1:14">
      <c r="A170" s="2" t="s">
        <v>64</v>
      </c>
      <c r="B170" s="3">
        <v>45658</v>
      </c>
      <c r="C170" s="2" t="s">
        <v>15</v>
      </c>
      <c r="D170" s="2" t="s">
        <v>16</v>
      </c>
      <c r="E170" s="2">
        <v>62059.18</v>
      </c>
      <c r="F170" s="2">
        <v>9374</v>
      </c>
      <c r="G170" s="2">
        <v>0.13600000000000001</v>
      </c>
      <c r="H170" s="2">
        <v>25</v>
      </c>
      <c r="I170" s="2">
        <v>87.1</v>
      </c>
      <c r="J170" s="2">
        <v>12.55</v>
      </c>
      <c r="K170" s="2">
        <v>0</v>
      </c>
      <c r="L170" s="2">
        <v>4.9000000000000004</v>
      </c>
      <c r="M170" s="2">
        <v>739831.73</v>
      </c>
      <c r="N170" s="2">
        <v>119490.21</v>
      </c>
    </row>
    <row r="171" spans="1:14">
      <c r="A171" s="2" t="s">
        <v>64</v>
      </c>
      <c r="B171" s="3">
        <v>45689</v>
      </c>
      <c r="C171" s="2" t="s">
        <v>15</v>
      </c>
      <c r="D171" s="2" t="s">
        <v>16</v>
      </c>
      <c r="E171" s="2">
        <v>32834.480000000003</v>
      </c>
      <c r="F171" s="2">
        <v>7576</v>
      </c>
      <c r="G171" s="2">
        <v>9.9000000000000005E-2</v>
      </c>
      <c r="H171" s="2">
        <v>15</v>
      </c>
      <c r="I171" s="2">
        <v>84.1</v>
      </c>
      <c r="J171" s="2">
        <v>3.48</v>
      </c>
      <c r="K171" s="2">
        <v>0</v>
      </c>
      <c r="L171" s="2">
        <v>5</v>
      </c>
      <c r="M171" s="2">
        <v>593637.14</v>
      </c>
      <c r="N171" s="2">
        <v>106648.14</v>
      </c>
    </row>
    <row r="172" spans="1:14">
      <c r="A172" s="2" t="s">
        <v>64</v>
      </c>
      <c r="B172" s="3">
        <v>45717</v>
      </c>
      <c r="C172" s="2" t="s">
        <v>15</v>
      </c>
      <c r="D172" s="2" t="s">
        <v>16</v>
      </c>
      <c r="E172" s="2">
        <v>50825.08</v>
      </c>
      <c r="F172" s="2">
        <v>8949</v>
      </c>
      <c r="G172" s="2">
        <v>0.157</v>
      </c>
      <c r="H172" s="2">
        <v>21</v>
      </c>
      <c r="I172" s="2">
        <v>84.7</v>
      </c>
      <c r="J172" s="2">
        <v>7.73</v>
      </c>
      <c r="K172" s="2">
        <v>0</v>
      </c>
      <c r="L172" s="2">
        <v>4.9000000000000004</v>
      </c>
      <c r="M172" s="2">
        <v>769702.76</v>
      </c>
      <c r="N172" s="2">
        <v>158697</v>
      </c>
    </row>
    <row r="173" spans="1:14">
      <c r="A173" s="2" t="s">
        <v>64</v>
      </c>
      <c r="B173" s="3">
        <v>45748</v>
      </c>
      <c r="C173" s="2" t="s">
        <v>15</v>
      </c>
      <c r="D173" s="2" t="s">
        <v>16</v>
      </c>
      <c r="E173" s="2">
        <v>36606.51</v>
      </c>
      <c r="F173" s="2">
        <v>7671</v>
      </c>
      <c r="G173" s="2">
        <v>0.11799999999999999</v>
      </c>
      <c r="H173" s="2">
        <v>18</v>
      </c>
      <c r="I173" s="2">
        <v>89.8</v>
      </c>
      <c r="J173" s="2">
        <v>0.25</v>
      </c>
      <c r="K173" s="2">
        <v>0</v>
      </c>
      <c r="L173" s="2">
        <v>4.4000000000000004</v>
      </c>
      <c r="M173" s="2">
        <v>679731.57</v>
      </c>
      <c r="N173" s="2">
        <v>121546.42</v>
      </c>
    </row>
    <row r="174" spans="1:14">
      <c r="A174" s="2" t="s">
        <v>65</v>
      </c>
      <c r="B174" s="3">
        <v>45658</v>
      </c>
      <c r="C174" s="2" t="s">
        <v>15</v>
      </c>
      <c r="D174" s="2" t="s">
        <v>16</v>
      </c>
      <c r="E174" s="2">
        <v>65237.79</v>
      </c>
      <c r="F174" s="2">
        <v>8741</v>
      </c>
      <c r="G174" s="2">
        <v>0.157</v>
      </c>
      <c r="H174" s="2">
        <v>20</v>
      </c>
      <c r="I174" s="2">
        <v>94.4</v>
      </c>
      <c r="J174" s="2">
        <v>6.43</v>
      </c>
      <c r="K174" s="2">
        <v>0</v>
      </c>
      <c r="L174" s="2">
        <v>3.3</v>
      </c>
      <c r="M174" s="2">
        <v>780344.18</v>
      </c>
      <c r="N174" s="2">
        <v>118239.09</v>
      </c>
    </row>
    <row r="175" spans="1:14">
      <c r="A175" s="2" t="s">
        <v>65</v>
      </c>
      <c r="B175" s="3">
        <v>45689</v>
      </c>
      <c r="C175" s="2" t="s">
        <v>15</v>
      </c>
      <c r="D175" s="2" t="s">
        <v>16</v>
      </c>
      <c r="E175" s="2">
        <v>43645.98</v>
      </c>
      <c r="F175" s="2">
        <v>9480</v>
      </c>
      <c r="G175" s="2">
        <v>0.109</v>
      </c>
      <c r="H175" s="2">
        <v>22</v>
      </c>
      <c r="I175" s="2">
        <v>89</v>
      </c>
      <c r="J175" s="2">
        <v>2.11</v>
      </c>
      <c r="K175" s="2">
        <v>0</v>
      </c>
      <c r="L175" s="2">
        <v>3.1</v>
      </c>
      <c r="M175" s="2">
        <v>721364.11</v>
      </c>
      <c r="N175" s="2">
        <v>147272.81</v>
      </c>
    </row>
    <row r="176" spans="1:14">
      <c r="A176" s="2" t="s">
        <v>65</v>
      </c>
      <c r="B176" s="3">
        <v>45717</v>
      </c>
      <c r="C176" s="2" t="s">
        <v>15</v>
      </c>
      <c r="D176" s="2" t="s">
        <v>16</v>
      </c>
      <c r="E176" s="2">
        <v>68040.149999999994</v>
      </c>
      <c r="F176" s="2">
        <v>9826</v>
      </c>
      <c r="G176" s="2">
        <v>0.125</v>
      </c>
      <c r="H176" s="2">
        <v>20</v>
      </c>
      <c r="I176" s="2">
        <v>83.9</v>
      </c>
      <c r="J176" s="2">
        <v>9.1199999999999992</v>
      </c>
      <c r="K176" s="2">
        <v>0</v>
      </c>
      <c r="L176" s="2">
        <v>3.6</v>
      </c>
      <c r="M176" s="2">
        <v>758138.29</v>
      </c>
      <c r="N176" s="2">
        <v>132975.26</v>
      </c>
    </row>
    <row r="177" spans="1:14">
      <c r="A177" s="2" t="s">
        <v>65</v>
      </c>
      <c r="B177" s="3">
        <v>45748</v>
      </c>
      <c r="C177" s="2" t="s">
        <v>15</v>
      </c>
      <c r="D177" s="2" t="s">
        <v>16</v>
      </c>
      <c r="E177" s="2">
        <v>63043.94</v>
      </c>
      <c r="F177" s="2">
        <v>10402</v>
      </c>
      <c r="G177" s="2">
        <v>0.159</v>
      </c>
      <c r="H177" s="2">
        <v>23</v>
      </c>
      <c r="I177" s="2">
        <v>93.9</v>
      </c>
      <c r="J177" s="2">
        <v>2.71</v>
      </c>
      <c r="K177" s="2">
        <v>0</v>
      </c>
      <c r="L177" s="2">
        <v>3.1</v>
      </c>
      <c r="M177" s="2">
        <v>804264</v>
      </c>
      <c r="N177" s="2">
        <v>167117.91</v>
      </c>
    </row>
    <row r="178" spans="1:14">
      <c r="A178" s="2" t="s">
        <v>66</v>
      </c>
      <c r="B178" s="3">
        <v>45658</v>
      </c>
      <c r="C178" s="2" t="s">
        <v>27</v>
      </c>
      <c r="D178" s="2" t="s">
        <v>21</v>
      </c>
      <c r="E178" s="2">
        <v>67494.09</v>
      </c>
      <c r="F178" s="2">
        <v>12361</v>
      </c>
      <c r="G178" s="2">
        <v>4.5999999999999999E-2</v>
      </c>
      <c r="H178" s="2">
        <v>24</v>
      </c>
      <c r="I178" s="2">
        <v>76.599999999999994</v>
      </c>
      <c r="J178" s="2">
        <v>3.65</v>
      </c>
      <c r="K178" s="2">
        <v>1</v>
      </c>
      <c r="L178" s="2">
        <v>3.7</v>
      </c>
      <c r="M178" s="2">
        <v>887537.75</v>
      </c>
      <c r="N178" s="2">
        <v>160362.92000000001</v>
      </c>
    </row>
    <row r="179" spans="1:14">
      <c r="A179" s="2" t="s">
        <v>66</v>
      </c>
      <c r="B179" s="3">
        <v>45689</v>
      </c>
      <c r="C179" s="2" t="s">
        <v>27</v>
      </c>
      <c r="D179" s="2" t="s">
        <v>21</v>
      </c>
      <c r="E179" s="2">
        <v>29389.32</v>
      </c>
      <c r="F179" s="2">
        <v>7925</v>
      </c>
      <c r="G179" s="2">
        <v>0.17699999999999999</v>
      </c>
      <c r="H179" s="2">
        <v>21</v>
      </c>
      <c r="I179" s="2">
        <v>90.9</v>
      </c>
      <c r="J179" s="2">
        <v>7.86</v>
      </c>
      <c r="K179" s="2">
        <v>0</v>
      </c>
      <c r="L179" s="2">
        <v>4</v>
      </c>
      <c r="M179" s="2">
        <v>783582</v>
      </c>
      <c r="N179" s="2">
        <v>130670.93</v>
      </c>
    </row>
    <row r="180" spans="1:14">
      <c r="A180" s="2" t="s">
        <v>66</v>
      </c>
      <c r="B180" s="3">
        <v>45717</v>
      </c>
      <c r="C180" s="2" t="s">
        <v>27</v>
      </c>
      <c r="D180" s="2" t="s">
        <v>21</v>
      </c>
      <c r="E180" s="2">
        <v>40535.089999999997</v>
      </c>
      <c r="F180" s="2">
        <v>8870</v>
      </c>
      <c r="G180" s="2">
        <v>4.1000000000000002E-2</v>
      </c>
      <c r="H180" s="2">
        <v>21</v>
      </c>
      <c r="I180" s="2">
        <v>86.6</v>
      </c>
      <c r="J180" s="2">
        <v>0.3</v>
      </c>
      <c r="K180" s="2">
        <v>0</v>
      </c>
      <c r="L180" s="2">
        <v>4.0999999999999996</v>
      </c>
      <c r="M180" s="2">
        <v>781955.52</v>
      </c>
      <c r="N180" s="2">
        <v>152578.71</v>
      </c>
    </row>
    <row r="181" spans="1:14">
      <c r="A181" s="2" t="s">
        <v>66</v>
      </c>
      <c r="B181" s="3">
        <v>45748</v>
      </c>
      <c r="C181" s="2" t="s">
        <v>27</v>
      </c>
      <c r="D181" s="2" t="s">
        <v>21</v>
      </c>
      <c r="E181" s="2">
        <v>74881.56</v>
      </c>
      <c r="F181" s="2">
        <v>9999</v>
      </c>
      <c r="G181" s="2">
        <v>1.2999999999999999E-2</v>
      </c>
      <c r="H181" s="2">
        <v>20</v>
      </c>
      <c r="I181" s="2">
        <v>89.6</v>
      </c>
      <c r="J181" s="2">
        <v>8.44</v>
      </c>
      <c r="K181" s="2">
        <v>0</v>
      </c>
      <c r="L181" s="2">
        <v>4.0999999999999996</v>
      </c>
      <c r="M181" s="2">
        <v>898031.04</v>
      </c>
      <c r="N181" s="2">
        <v>138666.5</v>
      </c>
    </row>
    <row r="182" spans="1:14">
      <c r="A182" s="2" t="s">
        <v>67</v>
      </c>
      <c r="B182" s="3">
        <v>45658</v>
      </c>
      <c r="C182" s="2" t="s">
        <v>27</v>
      </c>
      <c r="D182" s="2" t="s">
        <v>16</v>
      </c>
      <c r="E182" s="2">
        <v>68491.11</v>
      </c>
      <c r="F182" s="2">
        <v>11154</v>
      </c>
      <c r="G182" s="2">
        <v>1E-3</v>
      </c>
      <c r="H182" s="2">
        <v>24</v>
      </c>
      <c r="I182" s="2">
        <v>89.4</v>
      </c>
      <c r="J182" s="2">
        <v>5.27</v>
      </c>
      <c r="K182" s="2">
        <v>1</v>
      </c>
      <c r="L182" s="2">
        <v>3.9</v>
      </c>
      <c r="M182" s="2">
        <v>855341.28</v>
      </c>
      <c r="N182" s="2">
        <v>175823.8</v>
      </c>
    </row>
    <row r="183" spans="1:14">
      <c r="A183" s="2" t="s">
        <v>67</v>
      </c>
      <c r="B183" s="3">
        <v>45689</v>
      </c>
      <c r="C183" s="2" t="s">
        <v>27</v>
      </c>
      <c r="D183" s="2" t="s">
        <v>16</v>
      </c>
      <c r="E183" s="2">
        <v>45209.25</v>
      </c>
      <c r="F183" s="2">
        <v>9287</v>
      </c>
      <c r="G183" s="2">
        <v>0.14099999999999999</v>
      </c>
      <c r="H183" s="2">
        <v>22</v>
      </c>
      <c r="I183" s="2">
        <v>86.4</v>
      </c>
      <c r="J183" s="2">
        <v>13.22</v>
      </c>
      <c r="K183" s="2">
        <v>0</v>
      </c>
      <c r="L183" s="2">
        <v>3.6</v>
      </c>
      <c r="M183" s="2">
        <v>751393.88</v>
      </c>
      <c r="N183" s="2">
        <v>91480.320000000007</v>
      </c>
    </row>
    <row r="184" spans="1:14">
      <c r="A184" s="2" t="s">
        <v>67</v>
      </c>
      <c r="B184" s="3">
        <v>45717</v>
      </c>
      <c r="C184" s="2" t="s">
        <v>27</v>
      </c>
      <c r="D184" s="2" t="s">
        <v>16</v>
      </c>
      <c r="E184" s="2">
        <v>63010.23</v>
      </c>
      <c r="F184" s="2">
        <v>9812</v>
      </c>
      <c r="G184" s="2">
        <v>0.113</v>
      </c>
      <c r="H184" s="2">
        <v>24</v>
      </c>
      <c r="I184" s="2">
        <v>76.8</v>
      </c>
      <c r="J184" s="2">
        <v>1.02</v>
      </c>
      <c r="K184" s="2">
        <v>1</v>
      </c>
      <c r="L184" s="2">
        <v>3.8</v>
      </c>
      <c r="M184" s="2">
        <v>761077.08</v>
      </c>
      <c r="N184" s="2">
        <v>113605.93</v>
      </c>
    </row>
    <row r="185" spans="1:14">
      <c r="A185" s="2" t="s">
        <v>67</v>
      </c>
      <c r="B185" s="3">
        <v>45748</v>
      </c>
      <c r="C185" s="2" t="s">
        <v>27</v>
      </c>
      <c r="D185" s="2" t="s">
        <v>16</v>
      </c>
      <c r="E185" s="2">
        <v>57948.88</v>
      </c>
      <c r="F185" s="2">
        <v>10741</v>
      </c>
      <c r="G185" s="2">
        <v>7.0000000000000007E-2</v>
      </c>
      <c r="H185" s="2">
        <v>25</v>
      </c>
      <c r="I185" s="2">
        <v>90.1</v>
      </c>
      <c r="J185" s="2">
        <v>4.03</v>
      </c>
      <c r="K185" s="2">
        <v>0</v>
      </c>
      <c r="L185" s="2">
        <v>3.1</v>
      </c>
      <c r="M185" s="2">
        <v>819660.59</v>
      </c>
      <c r="N185" s="2">
        <v>172699.95</v>
      </c>
    </row>
    <row r="186" spans="1:14">
      <c r="A186" s="2" t="s">
        <v>68</v>
      </c>
      <c r="B186" s="3">
        <v>45658</v>
      </c>
      <c r="C186" s="2" t="s">
        <v>20</v>
      </c>
      <c r="D186" s="2" t="s">
        <v>18</v>
      </c>
      <c r="E186" s="2">
        <v>71941.62</v>
      </c>
      <c r="F186" s="2">
        <v>6084</v>
      </c>
      <c r="G186" s="2">
        <v>7.1999999999999995E-2</v>
      </c>
      <c r="H186" s="2">
        <v>13</v>
      </c>
      <c r="I186" s="2">
        <v>93.7</v>
      </c>
      <c r="J186" s="2">
        <v>2.34</v>
      </c>
      <c r="K186" s="2">
        <v>0</v>
      </c>
      <c r="L186" s="2">
        <v>4.4000000000000004</v>
      </c>
      <c r="M186" s="2">
        <v>681855.56</v>
      </c>
      <c r="N186" s="2">
        <v>117645.61</v>
      </c>
    </row>
    <row r="187" spans="1:14">
      <c r="A187" s="2" t="s">
        <v>68</v>
      </c>
      <c r="B187" s="3">
        <v>45689</v>
      </c>
      <c r="C187" s="2" t="s">
        <v>20</v>
      </c>
      <c r="D187" s="2" t="s">
        <v>18</v>
      </c>
      <c r="E187" s="2">
        <v>57147.88</v>
      </c>
      <c r="F187" s="2">
        <v>5252</v>
      </c>
      <c r="G187" s="2">
        <v>0.161</v>
      </c>
      <c r="H187" s="2">
        <v>15</v>
      </c>
      <c r="I187" s="2">
        <v>95.5</v>
      </c>
      <c r="J187" s="2">
        <v>8.51</v>
      </c>
      <c r="K187" s="2">
        <v>0</v>
      </c>
      <c r="L187" s="2">
        <v>4.4000000000000004</v>
      </c>
      <c r="M187" s="2">
        <v>678311.17</v>
      </c>
      <c r="N187" s="2">
        <v>132029.76000000001</v>
      </c>
    </row>
    <row r="188" spans="1:14">
      <c r="A188" s="2" t="s">
        <v>68</v>
      </c>
      <c r="B188" s="3">
        <v>45717</v>
      </c>
      <c r="C188" s="2" t="s">
        <v>20</v>
      </c>
      <c r="D188" s="2" t="s">
        <v>18</v>
      </c>
      <c r="E188" s="2">
        <v>48031.74</v>
      </c>
      <c r="F188" s="2">
        <v>6516</v>
      </c>
      <c r="G188" s="2">
        <v>6.7000000000000004E-2</v>
      </c>
      <c r="H188" s="2">
        <v>14</v>
      </c>
      <c r="I188" s="2">
        <v>99</v>
      </c>
      <c r="J188" s="2">
        <v>0.48</v>
      </c>
      <c r="K188" s="2">
        <v>1</v>
      </c>
      <c r="L188" s="2">
        <v>4.3</v>
      </c>
      <c r="M188" s="2">
        <v>765906.95</v>
      </c>
      <c r="N188" s="2">
        <v>114005.9</v>
      </c>
    </row>
    <row r="189" spans="1:14">
      <c r="A189" s="2" t="s">
        <v>68</v>
      </c>
      <c r="B189" s="3">
        <v>45748</v>
      </c>
      <c r="C189" s="2" t="s">
        <v>20</v>
      </c>
      <c r="D189" s="2" t="s">
        <v>18</v>
      </c>
      <c r="E189" s="2">
        <v>72784.800000000003</v>
      </c>
      <c r="F189" s="2">
        <v>7932</v>
      </c>
      <c r="G189" s="2">
        <v>9.4E-2</v>
      </c>
      <c r="H189" s="2">
        <v>20</v>
      </c>
      <c r="I189" s="2">
        <v>74.900000000000006</v>
      </c>
      <c r="J189" s="2">
        <v>13.62</v>
      </c>
      <c r="K189" s="2">
        <v>0</v>
      </c>
      <c r="L189" s="2">
        <v>4.2</v>
      </c>
      <c r="M189" s="2">
        <v>712546.38</v>
      </c>
      <c r="N189" s="2">
        <v>101480.04</v>
      </c>
    </row>
    <row r="190" spans="1:14">
      <c r="A190" s="2" t="s">
        <v>69</v>
      </c>
      <c r="B190" s="3">
        <v>45658</v>
      </c>
      <c r="C190" s="2" t="s">
        <v>15</v>
      </c>
      <c r="D190" s="2" t="s">
        <v>18</v>
      </c>
      <c r="E190" s="2">
        <v>71641.899999999994</v>
      </c>
      <c r="F190" s="2">
        <v>3506</v>
      </c>
      <c r="G190" s="2">
        <v>0</v>
      </c>
      <c r="H190" s="2">
        <v>11</v>
      </c>
      <c r="I190" s="2">
        <v>86.4</v>
      </c>
      <c r="J190" s="2">
        <v>7.77</v>
      </c>
      <c r="K190" s="2">
        <v>0</v>
      </c>
      <c r="L190" s="2">
        <v>4.0999999999999996</v>
      </c>
      <c r="M190" s="2">
        <v>625993.82999999996</v>
      </c>
      <c r="N190" s="2">
        <v>98960.320000000007</v>
      </c>
    </row>
    <row r="191" spans="1:14">
      <c r="A191" s="2" t="s">
        <v>69</v>
      </c>
      <c r="B191" s="3">
        <v>45689</v>
      </c>
      <c r="C191" s="2" t="s">
        <v>15</v>
      </c>
      <c r="D191" s="2" t="s">
        <v>18</v>
      </c>
      <c r="E191" s="2">
        <v>55788.61</v>
      </c>
      <c r="F191" s="2">
        <v>2312</v>
      </c>
      <c r="G191" s="2">
        <v>5.8000000000000003E-2</v>
      </c>
      <c r="H191" s="2">
        <v>10</v>
      </c>
      <c r="I191" s="2">
        <v>91.3</v>
      </c>
      <c r="J191" s="2">
        <v>1.99</v>
      </c>
      <c r="K191" s="2">
        <v>0</v>
      </c>
      <c r="L191" s="2">
        <v>3.8</v>
      </c>
      <c r="M191" s="2">
        <v>550962.93000000005</v>
      </c>
      <c r="N191" s="2">
        <v>97144.58</v>
      </c>
    </row>
    <row r="192" spans="1:14">
      <c r="A192" s="2" t="s">
        <v>69</v>
      </c>
      <c r="B192" s="3">
        <v>45717</v>
      </c>
      <c r="C192" s="2" t="s">
        <v>15</v>
      </c>
      <c r="D192" s="2" t="s">
        <v>18</v>
      </c>
      <c r="E192" s="2">
        <v>37705.879999999997</v>
      </c>
      <c r="F192" s="2">
        <v>1268</v>
      </c>
      <c r="G192" s="2">
        <v>0.25900000000000001</v>
      </c>
      <c r="H192" s="2">
        <v>9</v>
      </c>
      <c r="I192" s="2">
        <v>84.1</v>
      </c>
      <c r="J192" s="2">
        <v>4.7699999999999996</v>
      </c>
      <c r="K192" s="2">
        <v>0</v>
      </c>
      <c r="L192" s="2">
        <v>3.8</v>
      </c>
      <c r="M192" s="2">
        <v>443275.59</v>
      </c>
      <c r="N192" s="2">
        <v>53544.36</v>
      </c>
    </row>
    <row r="193" spans="1:14">
      <c r="A193" s="2" t="s">
        <v>69</v>
      </c>
      <c r="B193" s="3">
        <v>45748</v>
      </c>
      <c r="C193" s="2" t="s">
        <v>15</v>
      </c>
      <c r="D193" s="2" t="s">
        <v>18</v>
      </c>
      <c r="E193" s="2">
        <v>54966.18</v>
      </c>
      <c r="F193" s="2">
        <v>4423</v>
      </c>
      <c r="G193" s="2">
        <v>0.186</v>
      </c>
      <c r="H193" s="2">
        <v>13</v>
      </c>
      <c r="I193" s="2">
        <v>88.7</v>
      </c>
      <c r="J193" s="2">
        <v>0.2</v>
      </c>
      <c r="K193" s="2">
        <v>0</v>
      </c>
      <c r="L193" s="2">
        <v>4.4000000000000004</v>
      </c>
      <c r="M193" s="2">
        <v>554012.06999999995</v>
      </c>
      <c r="N193" s="2">
        <v>81101.62</v>
      </c>
    </row>
    <row r="194" spans="1:14">
      <c r="A194" s="2" t="s">
        <v>70</v>
      </c>
      <c r="B194" s="3">
        <v>45658</v>
      </c>
      <c r="C194" s="2" t="s">
        <v>27</v>
      </c>
      <c r="D194" s="2" t="s">
        <v>16</v>
      </c>
      <c r="E194" s="2">
        <v>81796.740000000005</v>
      </c>
      <c r="F194" s="2">
        <v>6177</v>
      </c>
      <c r="G194" s="2">
        <v>0.16400000000000001</v>
      </c>
      <c r="H194" s="2">
        <v>14</v>
      </c>
      <c r="I194" s="2">
        <v>87.9</v>
      </c>
      <c r="J194" s="2">
        <v>0.53</v>
      </c>
      <c r="K194" s="2">
        <v>0</v>
      </c>
      <c r="L194" s="2">
        <v>3.2</v>
      </c>
      <c r="M194" s="2">
        <v>643428.85</v>
      </c>
      <c r="N194" s="2">
        <v>94477.63</v>
      </c>
    </row>
    <row r="195" spans="1:14">
      <c r="A195" s="2" t="s">
        <v>70</v>
      </c>
      <c r="B195" s="3">
        <v>45689</v>
      </c>
      <c r="C195" s="2" t="s">
        <v>27</v>
      </c>
      <c r="D195" s="2" t="s">
        <v>16</v>
      </c>
      <c r="E195" s="2">
        <v>51133.43</v>
      </c>
      <c r="F195" s="2">
        <v>5150</v>
      </c>
      <c r="G195" s="2">
        <v>0.15</v>
      </c>
      <c r="H195" s="2">
        <v>12</v>
      </c>
      <c r="I195" s="2">
        <v>88.5</v>
      </c>
      <c r="J195" s="2">
        <v>1.54</v>
      </c>
      <c r="K195" s="2">
        <v>0</v>
      </c>
      <c r="L195" s="2">
        <v>3.2</v>
      </c>
      <c r="M195" s="2">
        <v>611924.27</v>
      </c>
      <c r="N195" s="2">
        <v>115488.75</v>
      </c>
    </row>
    <row r="196" spans="1:14">
      <c r="A196" s="2" t="s">
        <v>70</v>
      </c>
      <c r="B196" s="3">
        <v>45717</v>
      </c>
      <c r="C196" s="2" t="s">
        <v>27</v>
      </c>
      <c r="D196" s="2" t="s">
        <v>16</v>
      </c>
      <c r="E196" s="2">
        <v>40220.18</v>
      </c>
      <c r="F196" s="2">
        <v>3783</v>
      </c>
      <c r="G196" s="2">
        <v>8.8999999999999996E-2</v>
      </c>
      <c r="H196" s="2">
        <v>14</v>
      </c>
      <c r="I196" s="2">
        <v>86.6</v>
      </c>
      <c r="J196" s="2">
        <v>3.63</v>
      </c>
      <c r="K196" s="2">
        <v>0</v>
      </c>
      <c r="L196" s="2">
        <v>3.7</v>
      </c>
      <c r="M196" s="2">
        <v>559422.02</v>
      </c>
      <c r="N196" s="2">
        <v>73528.740000000005</v>
      </c>
    </row>
    <row r="197" spans="1:14">
      <c r="A197" s="2" t="s">
        <v>70</v>
      </c>
      <c r="B197" s="3">
        <v>45748</v>
      </c>
      <c r="C197" s="2" t="s">
        <v>27</v>
      </c>
      <c r="D197" s="2" t="s">
        <v>16</v>
      </c>
      <c r="E197" s="2">
        <v>41657.64</v>
      </c>
      <c r="F197" s="2">
        <v>3135</v>
      </c>
      <c r="G197" s="2">
        <v>0.22900000000000001</v>
      </c>
      <c r="H197" s="2">
        <v>7</v>
      </c>
      <c r="I197" s="2">
        <v>85.4</v>
      </c>
      <c r="J197" s="2">
        <v>13.48</v>
      </c>
      <c r="K197" s="2">
        <v>0</v>
      </c>
      <c r="L197" s="2"/>
      <c r="M197" s="2">
        <v>449465.06</v>
      </c>
      <c r="N197" s="2">
        <v>65694.78</v>
      </c>
    </row>
    <row r="198" spans="1:14">
      <c r="A198" s="2" t="s">
        <v>71</v>
      </c>
      <c r="B198" s="3">
        <v>45658</v>
      </c>
      <c r="C198" s="2" t="s">
        <v>20</v>
      </c>
      <c r="D198" s="2" t="s">
        <v>16</v>
      </c>
      <c r="E198" s="2">
        <v>71851.45</v>
      </c>
      <c r="F198" s="2">
        <v>4970</v>
      </c>
      <c r="G198" s="2">
        <v>9.8000000000000004E-2</v>
      </c>
      <c r="H198" s="2">
        <v>11</v>
      </c>
      <c r="I198" s="2">
        <v>89.6</v>
      </c>
      <c r="J198" s="2">
        <v>0.2</v>
      </c>
      <c r="K198" s="2">
        <v>0</v>
      </c>
      <c r="L198" s="2">
        <v>4.2</v>
      </c>
      <c r="M198" s="2">
        <v>691447.43</v>
      </c>
      <c r="N198" s="2">
        <v>114077.69</v>
      </c>
    </row>
    <row r="199" spans="1:14">
      <c r="A199" s="2" t="s">
        <v>71</v>
      </c>
      <c r="B199" s="3">
        <v>45689</v>
      </c>
      <c r="C199" s="2" t="s">
        <v>20</v>
      </c>
      <c r="D199" s="2" t="s">
        <v>16</v>
      </c>
      <c r="E199" s="2">
        <v>54002.83</v>
      </c>
      <c r="F199" s="2">
        <v>4366</v>
      </c>
      <c r="G199" s="2">
        <v>2.7E-2</v>
      </c>
      <c r="H199" s="2">
        <v>15</v>
      </c>
      <c r="I199" s="2">
        <v>90.6</v>
      </c>
      <c r="J199" s="2">
        <v>12.82</v>
      </c>
      <c r="K199" s="2">
        <v>0</v>
      </c>
      <c r="L199" s="2">
        <v>4.5999999999999996</v>
      </c>
      <c r="M199" s="2">
        <v>574066.61</v>
      </c>
      <c r="N199" s="2">
        <v>124674.67</v>
      </c>
    </row>
    <row r="200" spans="1:14">
      <c r="A200" s="2" t="s">
        <v>71</v>
      </c>
      <c r="B200" s="3">
        <v>45717</v>
      </c>
      <c r="C200" s="2" t="s">
        <v>20</v>
      </c>
      <c r="D200" s="2" t="s">
        <v>16</v>
      </c>
      <c r="E200" s="2">
        <v>54479.33</v>
      </c>
      <c r="F200" s="2">
        <v>5012</v>
      </c>
      <c r="G200" s="2">
        <v>0.28399999999999997</v>
      </c>
      <c r="H200" s="2">
        <v>13</v>
      </c>
      <c r="I200" s="2">
        <v>86</v>
      </c>
      <c r="J200" s="2">
        <v>2.2400000000000002</v>
      </c>
      <c r="K200" s="2">
        <v>1</v>
      </c>
      <c r="L200" s="2">
        <v>4.3</v>
      </c>
      <c r="M200" s="2">
        <v>578949.84</v>
      </c>
      <c r="N200" s="2">
        <v>80253.649999999994</v>
      </c>
    </row>
    <row r="201" spans="1:14">
      <c r="A201" s="2" t="s">
        <v>71</v>
      </c>
      <c r="B201" s="3">
        <v>45748</v>
      </c>
      <c r="C201" s="2" t="s">
        <v>20</v>
      </c>
      <c r="D201" s="2" t="s">
        <v>16</v>
      </c>
      <c r="E201" s="2">
        <v>61391.8</v>
      </c>
      <c r="F201" s="2">
        <v>5575</v>
      </c>
      <c r="G201" s="2">
        <v>0.189</v>
      </c>
      <c r="H201" s="2">
        <v>18</v>
      </c>
      <c r="I201" s="2">
        <v>90</v>
      </c>
      <c r="J201" s="2">
        <v>1.8</v>
      </c>
      <c r="K201" s="2">
        <v>0</v>
      </c>
      <c r="L201" s="2">
        <v>4.8</v>
      </c>
      <c r="M201" s="2">
        <v>735786.64</v>
      </c>
      <c r="N201" s="2">
        <v>126540.66</v>
      </c>
    </row>
    <row r="202" spans="1:14">
      <c r="A202" s="2" t="s">
        <v>72</v>
      </c>
      <c r="B202" s="3">
        <v>45658</v>
      </c>
      <c r="C202" s="2" t="s">
        <v>15</v>
      </c>
      <c r="D202" s="2" t="s">
        <v>21</v>
      </c>
      <c r="E202" s="2">
        <v>22312.93</v>
      </c>
      <c r="F202" s="2">
        <v>5955</v>
      </c>
      <c r="G202" s="2">
        <v>0.123</v>
      </c>
      <c r="H202" s="2">
        <v>13</v>
      </c>
      <c r="I202" s="2">
        <v>84.2</v>
      </c>
      <c r="J202" s="2">
        <v>0.41</v>
      </c>
      <c r="K202" s="2">
        <v>1</v>
      </c>
      <c r="L202" s="2">
        <v>4.5999999999999996</v>
      </c>
      <c r="M202" s="2">
        <v>598904.9</v>
      </c>
      <c r="N202" s="2">
        <v>72861</v>
      </c>
    </row>
    <row r="203" spans="1:14">
      <c r="A203" s="2" t="s">
        <v>72</v>
      </c>
      <c r="B203" s="3">
        <v>45689</v>
      </c>
      <c r="C203" s="2" t="s">
        <v>15</v>
      </c>
      <c r="D203" s="2" t="s">
        <v>21</v>
      </c>
      <c r="E203" s="2">
        <v>78111.97</v>
      </c>
      <c r="F203" s="2">
        <v>6389</v>
      </c>
      <c r="G203" s="2">
        <v>0.15</v>
      </c>
      <c r="H203" s="2">
        <v>13</v>
      </c>
      <c r="I203" s="2">
        <v>83.9</v>
      </c>
      <c r="J203" s="2">
        <v>3.05</v>
      </c>
      <c r="K203" s="2">
        <v>0</v>
      </c>
      <c r="L203" s="2">
        <v>4.8</v>
      </c>
      <c r="M203" s="2">
        <v>787715.51</v>
      </c>
      <c r="N203" s="2">
        <v>128969.62</v>
      </c>
    </row>
    <row r="204" spans="1:14">
      <c r="A204" s="2" t="s">
        <v>72</v>
      </c>
      <c r="B204" s="3">
        <v>45717</v>
      </c>
      <c r="C204" s="2" t="s">
        <v>15</v>
      </c>
      <c r="D204" s="2" t="s">
        <v>21</v>
      </c>
      <c r="E204" s="2">
        <v>35203.230000000003</v>
      </c>
      <c r="F204" s="2">
        <v>6896</v>
      </c>
      <c r="G204" s="2">
        <v>3.2000000000000001E-2</v>
      </c>
      <c r="H204" s="2">
        <v>14</v>
      </c>
      <c r="I204" s="2">
        <v>80.8</v>
      </c>
      <c r="J204" s="2">
        <v>8.44</v>
      </c>
      <c r="K204" s="2">
        <v>1</v>
      </c>
      <c r="L204" s="2">
        <v>5</v>
      </c>
      <c r="M204" s="2">
        <v>607084.92000000004</v>
      </c>
      <c r="N204" s="2">
        <v>98558.49</v>
      </c>
    </row>
    <row r="205" spans="1:14">
      <c r="A205" s="2" t="s">
        <v>72</v>
      </c>
      <c r="B205" s="3">
        <v>45748</v>
      </c>
      <c r="C205" s="2" t="s">
        <v>15</v>
      </c>
      <c r="D205" s="2" t="s">
        <v>21</v>
      </c>
      <c r="E205" s="2">
        <v>64104.28</v>
      </c>
      <c r="F205" s="2">
        <v>6015</v>
      </c>
      <c r="G205" s="2">
        <v>0.127</v>
      </c>
      <c r="H205" s="2">
        <v>15</v>
      </c>
      <c r="I205" s="2">
        <v>88.7</v>
      </c>
      <c r="J205" s="2">
        <v>0.78</v>
      </c>
      <c r="K205" s="2">
        <v>0</v>
      </c>
      <c r="L205" s="2">
        <v>4</v>
      </c>
      <c r="M205" s="2">
        <v>650795.49</v>
      </c>
      <c r="N205" s="2">
        <v>103035.89</v>
      </c>
    </row>
    <row r="206" spans="1:14">
      <c r="A206" s="2" t="s">
        <v>73</v>
      </c>
      <c r="B206" s="3">
        <v>45658</v>
      </c>
      <c r="C206" s="2" t="s">
        <v>15</v>
      </c>
      <c r="D206" s="2" t="s">
        <v>28</v>
      </c>
      <c r="E206" s="2">
        <v>92090.14</v>
      </c>
      <c r="F206" s="2">
        <v>9476</v>
      </c>
      <c r="G206" s="2">
        <v>7.0000000000000007E-2</v>
      </c>
      <c r="H206" s="2">
        <v>24</v>
      </c>
      <c r="I206" s="2">
        <v>94.3</v>
      </c>
      <c r="J206" s="2">
        <v>0.87</v>
      </c>
      <c r="K206" s="2">
        <v>0</v>
      </c>
      <c r="L206" s="2">
        <v>3.7</v>
      </c>
      <c r="M206" s="2">
        <v>825060.52</v>
      </c>
      <c r="N206" s="2">
        <v>143613.15</v>
      </c>
    </row>
    <row r="207" spans="1:14">
      <c r="A207" s="2" t="s">
        <v>73</v>
      </c>
      <c r="B207" s="3">
        <v>45689</v>
      </c>
      <c r="C207" s="2" t="s">
        <v>15</v>
      </c>
      <c r="D207" s="2" t="s">
        <v>28</v>
      </c>
      <c r="E207" s="2">
        <v>54300.87</v>
      </c>
      <c r="F207" s="2">
        <v>7875</v>
      </c>
      <c r="G207" s="2">
        <v>0.107</v>
      </c>
      <c r="H207" s="2">
        <v>19</v>
      </c>
      <c r="I207" s="2">
        <v>94.1</v>
      </c>
      <c r="J207" s="2">
        <v>0.95</v>
      </c>
      <c r="K207" s="2">
        <v>0</v>
      </c>
      <c r="L207" s="2">
        <v>3.7</v>
      </c>
      <c r="M207" s="2">
        <v>795464.47</v>
      </c>
      <c r="N207" s="2">
        <v>161150.51999999999</v>
      </c>
    </row>
    <row r="208" spans="1:14">
      <c r="A208" s="2" t="s">
        <v>73</v>
      </c>
      <c r="B208" s="3">
        <v>45717</v>
      </c>
      <c r="C208" s="2" t="s">
        <v>15</v>
      </c>
      <c r="D208" s="2" t="s">
        <v>28</v>
      </c>
      <c r="E208" s="2">
        <v>37983.35</v>
      </c>
      <c r="F208" s="2">
        <v>9283</v>
      </c>
      <c r="G208" s="2">
        <v>0.14899999999999999</v>
      </c>
      <c r="H208" s="2">
        <v>19</v>
      </c>
      <c r="I208" s="2">
        <v>83.2</v>
      </c>
      <c r="J208" s="2">
        <v>3.82</v>
      </c>
      <c r="K208" s="2">
        <v>0</v>
      </c>
      <c r="L208" s="2">
        <v>3.7</v>
      </c>
      <c r="M208" s="2">
        <v>671868.59</v>
      </c>
      <c r="N208" s="2">
        <v>71003.28</v>
      </c>
    </row>
    <row r="209" spans="1:14">
      <c r="A209" s="2" t="s">
        <v>73</v>
      </c>
      <c r="B209" s="3">
        <v>45748</v>
      </c>
      <c r="C209" s="2" t="s">
        <v>15</v>
      </c>
      <c r="D209" s="2" t="s">
        <v>28</v>
      </c>
      <c r="E209" s="2">
        <v>56413.83</v>
      </c>
      <c r="F209" s="2">
        <v>8303</v>
      </c>
      <c r="G209" s="2">
        <v>0.11600000000000001</v>
      </c>
      <c r="H209" s="2">
        <v>18</v>
      </c>
      <c r="I209" s="2">
        <v>93.6</v>
      </c>
      <c r="J209" s="2">
        <v>2.7</v>
      </c>
      <c r="K209" s="2">
        <v>0</v>
      </c>
      <c r="L209" s="2">
        <v>3.7</v>
      </c>
      <c r="M209" s="2">
        <v>675917.63</v>
      </c>
      <c r="N209" s="2">
        <v>112564.75</v>
      </c>
    </row>
    <row r="210" spans="1:14">
      <c r="A210" s="2" t="s">
        <v>74</v>
      </c>
      <c r="B210" s="3">
        <v>45658</v>
      </c>
      <c r="C210" s="2" t="s">
        <v>15</v>
      </c>
      <c r="D210" s="2" t="s">
        <v>18</v>
      </c>
      <c r="E210" s="2">
        <v>63457.19</v>
      </c>
      <c r="F210" s="2">
        <v>10125</v>
      </c>
      <c r="G210" s="2">
        <v>9.7000000000000003E-2</v>
      </c>
      <c r="H210" s="2">
        <v>24</v>
      </c>
      <c r="I210" s="2">
        <v>87</v>
      </c>
      <c r="J210" s="2">
        <v>3.84</v>
      </c>
      <c r="K210" s="2">
        <v>1</v>
      </c>
      <c r="L210" s="2">
        <v>3.7</v>
      </c>
      <c r="M210" s="2">
        <v>810446.53</v>
      </c>
      <c r="N210" s="2">
        <v>200575.34</v>
      </c>
    </row>
    <row r="211" spans="1:14">
      <c r="A211" s="2" t="s">
        <v>74</v>
      </c>
      <c r="B211" s="3">
        <v>45689</v>
      </c>
      <c r="C211" s="2" t="s">
        <v>15</v>
      </c>
      <c r="D211" s="2" t="s">
        <v>18</v>
      </c>
      <c r="E211" s="2">
        <v>62949.7</v>
      </c>
      <c r="F211" s="2">
        <v>9458</v>
      </c>
      <c r="G211" s="2">
        <v>0.17100000000000001</v>
      </c>
      <c r="H211" s="2">
        <v>19</v>
      </c>
      <c r="I211" s="2">
        <v>84.9</v>
      </c>
      <c r="J211" s="2">
        <v>5.09</v>
      </c>
      <c r="K211" s="2">
        <v>0</v>
      </c>
      <c r="L211" s="2">
        <v>3.3</v>
      </c>
      <c r="M211" s="2">
        <v>691288.19</v>
      </c>
      <c r="N211" s="2">
        <v>159074.14000000001</v>
      </c>
    </row>
    <row r="212" spans="1:14">
      <c r="A212" s="2" t="s">
        <v>74</v>
      </c>
      <c r="B212" s="3">
        <v>45717</v>
      </c>
      <c r="C212" s="2" t="s">
        <v>15</v>
      </c>
      <c r="D212" s="2" t="s">
        <v>18</v>
      </c>
      <c r="E212" s="2">
        <v>107970.19</v>
      </c>
      <c r="F212" s="2">
        <v>12870</v>
      </c>
      <c r="G212" s="2">
        <v>2.9000000000000001E-2</v>
      </c>
      <c r="H212" s="2">
        <v>31</v>
      </c>
      <c r="I212" s="2">
        <v>91.7</v>
      </c>
      <c r="J212" s="2">
        <v>3.82</v>
      </c>
      <c r="K212" s="2">
        <v>1</v>
      </c>
      <c r="L212" s="2">
        <v>3.7</v>
      </c>
      <c r="M212" s="2">
        <v>946833.54</v>
      </c>
      <c r="N212" s="2">
        <v>184540.31</v>
      </c>
    </row>
    <row r="213" spans="1:14">
      <c r="A213" s="2" t="s">
        <v>74</v>
      </c>
      <c r="B213" s="3">
        <v>45748</v>
      </c>
      <c r="C213" s="2" t="s">
        <v>15</v>
      </c>
      <c r="D213" s="2" t="s">
        <v>18</v>
      </c>
      <c r="E213" s="2">
        <v>49405.75</v>
      </c>
      <c r="F213" s="2">
        <v>9752</v>
      </c>
      <c r="G213" s="2">
        <v>9.2999999999999999E-2</v>
      </c>
      <c r="H213" s="2">
        <v>21</v>
      </c>
      <c r="I213" s="2">
        <v>87</v>
      </c>
      <c r="J213" s="2">
        <v>12.28</v>
      </c>
      <c r="K213" s="2">
        <v>0</v>
      </c>
      <c r="L213" s="2">
        <v>4.0999999999999996</v>
      </c>
      <c r="M213" s="2">
        <v>761963.23</v>
      </c>
      <c r="N213" s="2">
        <v>150113.60999999999</v>
      </c>
    </row>
    <row r="214" spans="1:14">
      <c r="A214" s="2" t="s">
        <v>75</v>
      </c>
      <c r="B214" s="3">
        <v>45658</v>
      </c>
      <c r="C214" s="2" t="s">
        <v>27</v>
      </c>
      <c r="D214" s="2" t="s">
        <v>16</v>
      </c>
      <c r="E214" s="2">
        <v>50887.46</v>
      </c>
      <c r="F214" s="2">
        <v>9505</v>
      </c>
      <c r="G214" s="2">
        <v>9.0999999999999998E-2</v>
      </c>
      <c r="H214" s="2">
        <v>25</v>
      </c>
      <c r="I214" s="2">
        <v>89.7</v>
      </c>
      <c r="J214" s="2">
        <v>2.8</v>
      </c>
      <c r="K214" s="2">
        <v>0</v>
      </c>
      <c r="L214" s="2">
        <v>4.3</v>
      </c>
      <c r="M214" s="2">
        <v>812152.6</v>
      </c>
      <c r="N214" s="2">
        <v>138419.43</v>
      </c>
    </row>
    <row r="215" spans="1:14">
      <c r="A215" s="2" t="s">
        <v>75</v>
      </c>
      <c r="B215" s="3">
        <v>45689</v>
      </c>
      <c r="C215" s="2" t="s">
        <v>27</v>
      </c>
      <c r="D215" s="2" t="s">
        <v>16</v>
      </c>
      <c r="E215" s="2">
        <v>41819.449999999997</v>
      </c>
      <c r="F215" s="2">
        <v>9412</v>
      </c>
      <c r="G215" s="2">
        <v>0.15</v>
      </c>
      <c r="H215" s="2">
        <v>22</v>
      </c>
      <c r="I215" s="2">
        <v>91</v>
      </c>
      <c r="J215" s="2">
        <v>3.67</v>
      </c>
      <c r="K215" s="2">
        <v>0</v>
      </c>
      <c r="L215" s="2">
        <v>4.2</v>
      </c>
      <c r="M215" s="2">
        <v>804975.5</v>
      </c>
      <c r="N215" s="2">
        <v>140054.5</v>
      </c>
    </row>
    <row r="216" spans="1:14">
      <c r="A216" s="2" t="s">
        <v>75</v>
      </c>
      <c r="B216" s="3">
        <v>45717</v>
      </c>
      <c r="C216" s="2" t="s">
        <v>27</v>
      </c>
      <c r="D216" s="2" t="s">
        <v>16</v>
      </c>
      <c r="E216" s="2">
        <v>35296.54</v>
      </c>
      <c r="F216" s="2">
        <v>9644</v>
      </c>
      <c r="G216" s="2">
        <v>0</v>
      </c>
      <c r="H216" s="2">
        <v>22</v>
      </c>
      <c r="I216" s="2">
        <v>88</v>
      </c>
      <c r="J216" s="2">
        <v>2.81</v>
      </c>
      <c r="K216" s="2">
        <v>0</v>
      </c>
      <c r="L216" s="2">
        <v>4.7</v>
      </c>
      <c r="M216" s="2">
        <v>752321.72</v>
      </c>
      <c r="N216" s="2">
        <v>137788.51</v>
      </c>
    </row>
    <row r="217" spans="1:14">
      <c r="A217" s="2" t="s">
        <v>75</v>
      </c>
      <c r="B217" s="3">
        <v>45748</v>
      </c>
      <c r="C217" s="2" t="s">
        <v>27</v>
      </c>
      <c r="D217" s="2" t="s">
        <v>16</v>
      </c>
      <c r="E217" s="2">
        <v>47391.09</v>
      </c>
      <c r="F217" s="2">
        <v>11224</v>
      </c>
      <c r="G217" s="2">
        <v>0.14699999999999999</v>
      </c>
      <c r="H217" s="2">
        <v>25</v>
      </c>
      <c r="I217" s="2">
        <v>88.4</v>
      </c>
      <c r="J217" s="2">
        <v>2.44</v>
      </c>
      <c r="K217" s="2">
        <v>0</v>
      </c>
      <c r="L217" s="2">
        <v>4.9000000000000004</v>
      </c>
      <c r="M217" s="2">
        <v>836908.24</v>
      </c>
      <c r="N217" s="2">
        <v>141090.26</v>
      </c>
    </row>
    <row r="218" spans="1:14">
      <c r="A218" s="2" t="s">
        <v>76</v>
      </c>
      <c r="B218" s="3">
        <v>45658</v>
      </c>
      <c r="C218" s="2" t="s">
        <v>20</v>
      </c>
      <c r="D218" s="2" t="s">
        <v>21</v>
      </c>
      <c r="E218" s="2">
        <v>69180.539999999994</v>
      </c>
      <c r="F218" s="2">
        <v>5394</v>
      </c>
      <c r="G218" s="2">
        <v>0.126</v>
      </c>
      <c r="H218" s="2">
        <v>12</v>
      </c>
      <c r="I218" s="2">
        <v>82.9</v>
      </c>
      <c r="J218" s="2">
        <v>3.27</v>
      </c>
      <c r="K218" s="2">
        <v>0</v>
      </c>
      <c r="L218" s="2">
        <v>3.3</v>
      </c>
      <c r="M218" s="2">
        <v>674289.1</v>
      </c>
      <c r="N218" s="2">
        <v>117773.79</v>
      </c>
    </row>
    <row r="219" spans="1:14">
      <c r="A219" s="2" t="s">
        <v>76</v>
      </c>
      <c r="B219" s="3">
        <v>45689</v>
      </c>
      <c r="C219" s="2" t="s">
        <v>20</v>
      </c>
      <c r="D219" s="2" t="s">
        <v>21</v>
      </c>
      <c r="E219" s="2">
        <v>33987.33</v>
      </c>
      <c r="F219" s="2">
        <v>5014</v>
      </c>
      <c r="G219" s="2">
        <v>0.246</v>
      </c>
      <c r="H219" s="2">
        <v>17</v>
      </c>
      <c r="I219" s="2">
        <v>94.3</v>
      </c>
      <c r="J219" s="2">
        <v>10.34</v>
      </c>
      <c r="K219" s="2">
        <v>0</v>
      </c>
      <c r="L219" s="2">
        <v>3.9</v>
      </c>
      <c r="M219" s="2">
        <v>622892.42000000004</v>
      </c>
      <c r="N219" s="2">
        <v>101032.52</v>
      </c>
    </row>
    <row r="220" spans="1:14">
      <c r="A220" s="2" t="s">
        <v>76</v>
      </c>
      <c r="B220" s="3">
        <v>45717</v>
      </c>
      <c r="C220" s="2" t="s">
        <v>20</v>
      </c>
      <c r="D220" s="2" t="s">
        <v>21</v>
      </c>
      <c r="E220" s="2">
        <v>58785.33</v>
      </c>
      <c r="F220" s="2">
        <v>4467</v>
      </c>
      <c r="G220" s="2">
        <v>0.22900000000000001</v>
      </c>
      <c r="H220" s="2">
        <v>14</v>
      </c>
      <c r="I220" s="2">
        <v>90.7</v>
      </c>
      <c r="J220" s="2">
        <v>1.92</v>
      </c>
      <c r="K220" s="2">
        <v>0</v>
      </c>
      <c r="L220" s="2">
        <v>3.7</v>
      </c>
      <c r="M220" s="2">
        <v>673348.56</v>
      </c>
      <c r="N220" s="2">
        <v>69464.59</v>
      </c>
    </row>
    <row r="221" spans="1:14">
      <c r="A221" s="2" t="s">
        <v>76</v>
      </c>
      <c r="B221" s="3">
        <v>45748</v>
      </c>
      <c r="C221" s="2" t="s">
        <v>20</v>
      </c>
      <c r="D221" s="2" t="s">
        <v>21</v>
      </c>
      <c r="E221" s="2">
        <v>16451.849999999999</v>
      </c>
      <c r="F221" s="2">
        <v>4678</v>
      </c>
      <c r="G221" s="2">
        <v>0.13300000000000001</v>
      </c>
      <c r="H221" s="2">
        <v>11</v>
      </c>
      <c r="I221" s="2">
        <v>95.9</v>
      </c>
      <c r="J221" s="2">
        <v>3.1</v>
      </c>
      <c r="K221" s="2">
        <v>0</v>
      </c>
      <c r="L221" s="2">
        <v>3.9</v>
      </c>
      <c r="M221" s="2">
        <v>606278.30000000005</v>
      </c>
      <c r="N221" s="2">
        <v>102213.26</v>
      </c>
    </row>
    <row r="222" spans="1:14">
      <c r="A222" s="2" t="s">
        <v>77</v>
      </c>
      <c r="B222" s="3">
        <v>45658</v>
      </c>
      <c r="C222" s="2" t="s">
        <v>15</v>
      </c>
      <c r="D222" s="2" t="s">
        <v>18</v>
      </c>
      <c r="E222" s="2">
        <v>53367.73</v>
      </c>
      <c r="F222" s="2">
        <v>7291</v>
      </c>
      <c r="G222" s="2">
        <v>0.14599999999999999</v>
      </c>
      <c r="H222" s="2">
        <v>18</v>
      </c>
      <c r="I222" s="2">
        <v>90.6</v>
      </c>
      <c r="J222" s="2">
        <v>6.34</v>
      </c>
      <c r="K222" s="2">
        <v>1</v>
      </c>
      <c r="L222" s="2">
        <v>3.8</v>
      </c>
      <c r="M222" s="2">
        <v>712219.81</v>
      </c>
      <c r="N222" s="2">
        <v>85906.54</v>
      </c>
    </row>
    <row r="223" spans="1:14">
      <c r="A223" s="2" t="s">
        <v>77</v>
      </c>
      <c r="B223" s="3">
        <v>45689</v>
      </c>
      <c r="C223" s="2" t="s">
        <v>15</v>
      </c>
      <c r="D223" s="2" t="s">
        <v>18</v>
      </c>
      <c r="E223" s="2">
        <v>27194.639999999999</v>
      </c>
      <c r="F223" s="2">
        <v>7404</v>
      </c>
      <c r="G223" s="2">
        <v>8.7999999999999995E-2</v>
      </c>
      <c r="H223" s="2">
        <v>18</v>
      </c>
      <c r="I223" s="2">
        <v>90.2</v>
      </c>
      <c r="J223" s="2">
        <v>1.2</v>
      </c>
      <c r="K223" s="2">
        <v>0</v>
      </c>
      <c r="L223" s="2">
        <v>3.4</v>
      </c>
      <c r="M223" s="2">
        <v>672670.54</v>
      </c>
      <c r="N223" s="2">
        <v>132684.18</v>
      </c>
    </row>
    <row r="224" spans="1:14">
      <c r="A224" s="2" t="s">
        <v>77</v>
      </c>
      <c r="B224" s="3">
        <v>45717</v>
      </c>
      <c r="C224" s="2" t="s">
        <v>15</v>
      </c>
      <c r="D224" s="2" t="s">
        <v>18</v>
      </c>
      <c r="E224" s="2">
        <v>66962.740000000005</v>
      </c>
      <c r="F224" s="2">
        <v>7880</v>
      </c>
      <c r="G224" s="2">
        <v>0.11600000000000001</v>
      </c>
      <c r="H224" s="2">
        <v>19</v>
      </c>
      <c r="I224" s="2">
        <v>90.4</v>
      </c>
      <c r="J224" s="2">
        <v>4.5</v>
      </c>
      <c r="K224" s="2">
        <v>0</v>
      </c>
      <c r="L224" s="2">
        <v>3.3</v>
      </c>
      <c r="M224" s="2">
        <v>732667.92</v>
      </c>
      <c r="N224" s="2">
        <v>128654.46</v>
      </c>
    </row>
    <row r="225" spans="1:14">
      <c r="A225" s="2" t="s">
        <v>77</v>
      </c>
      <c r="B225" s="3">
        <v>45748</v>
      </c>
      <c r="C225" s="2" t="s">
        <v>15</v>
      </c>
      <c r="D225" s="2" t="s">
        <v>18</v>
      </c>
      <c r="E225" s="2">
        <v>73540.990000000005</v>
      </c>
      <c r="F225" s="2">
        <v>8773</v>
      </c>
      <c r="G225" s="2">
        <v>3.5000000000000003E-2</v>
      </c>
      <c r="H225" s="2">
        <v>21</v>
      </c>
      <c r="I225" s="2">
        <v>84.4</v>
      </c>
      <c r="J225" s="2">
        <v>6.68</v>
      </c>
      <c r="K225" s="2">
        <v>0</v>
      </c>
      <c r="L225" s="2">
        <v>3.6</v>
      </c>
      <c r="M225" s="2">
        <v>723531.4</v>
      </c>
      <c r="N225" s="2">
        <v>108794.85</v>
      </c>
    </row>
    <row r="226" spans="1:14">
      <c r="A226" s="2" t="s">
        <v>78</v>
      </c>
      <c r="B226" s="3">
        <v>45658</v>
      </c>
      <c r="C226" s="2" t="s">
        <v>15</v>
      </c>
      <c r="D226" s="2" t="s">
        <v>28</v>
      </c>
      <c r="E226" s="2">
        <v>68212.289999999994</v>
      </c>
      <c r="F226" s="2">
        <v>4713</v>
      </c>
      <c r="G226" s="2">
        <v>0.19800000000000001</v>
      </c>
      <c r="H226" s="2">
        <v>15</v>
      </c>
      <c r="I226" s="2">
        <v>82.6</v>
      </c>
      <c r="J226" s="2">
        <v>4.07</v>
      </c>
      <c r="K226" s="2">
        <v>1</v>
      </c>
      <c r="L226" s="2">
        <v>3</v>
      </c>
      <c r="M226" s="2">
        <v>641564.6</v>
      </c>
      <c r="N226" s="2">
        <v>90468.96</v>
      </c>
    </row>
    <row r="227" spans="1:14">
      <c r="A227" s="2" t="s">
        <v>78</v>
      </c>
      <c r="B227" s="3">
        <v>45689</v>
      </c>
      <c r="C227" s="2" t="s">
        <v>15</v>
      </c>
      <c r="D227" s="2" t="s">
        <v>28</v>
      </c>
      <c r="E227" s="2">
        <v>57225.98</v>
      </c>
      <c r="F227" s="2">
        <v>2842</v>
      </c>
      <c r="G227" s="2">
        <v>0.112</v>
      </c>
      <c r="H227" s="2">
        <v>10</v>
      </c>
      <c r="I227" s="2">
        <v>79.5</v>
      </c>
      <c r="J227" s="2">
        <v>5.45</v>
      </c>
      <c r="K227" s="2">
        <v>0</v>
      </c>
      <c r="L227" s="2">
        <v>3.4</v>
      </c>
      <c r="M227" s="2">
        <v>536545.49</v>
      </c>
      <c r="N227" s="2">
        <v>97917.45</v>
      </c>
    </row>
    <row r="228" spans="1:14">
      <c r="A228" s="2" t="s">
        <v>78</v>
      </c>
      <c r="B228" s="3">
        <v>45717</v>
      </c>
      <c r="C228" s="2" t="s">
        <v>15</v>
      </c>
      <c r="D228" s="2" t="s">
        <v>28</v>
      </c>
      <c r="E228" s="2">
        <v>42932.02</v>
      </c>
      <c r="F228" s="2">
        <v>3872</v>
      </c>
      <c r="G228" s="2">
        <v>0.17100000000000001</v>
      </c>
      <c r="H228" s="2">
        <v>12</v>
      </c>
      <c r="I228" s="2">
        <v>83.2</v>
      </c>
      <c r="J228" s="2">
        <v>15.58</v>
      </c>
      <c r="K228" s="2">
        <v>0</v>
      </c>
      <c r="L228" s="2">
        <v>3.3</v>
      </c>
      <c r="M228" s="2">
        <v>527681.56000000006</v>
      </c>
      <c r="N228" s="2">
        <v>63153.05</v>
      </c>
    </row>
    <row r="229" spans="1:14">
      <c r="A229" s="2" t="s">
        <v>78</v>
      </c>
      <c r="B229" s="3">
        <v>45748</v>
      </c>
      <c r="C229" s="2" t="s">
        <v>15</v>
      </c>
      <c r="D229" s="2" t="s">
        <v>28</v>
      </c>
      <c r="E229" s="2">
        <v>39341.449999999997</v>
      </c>
      <c r="F229" s="2">
        <v>1375</v>
      </c>
      <c r="G229" s="2">
        <v>9.2999999999999999E-2</v>
      </c>
      <c r="H229" s="2">
        <v>5</v>
      </c>
      <c r="I229" s="2">
        <v>95</v>
      </c>
      <c r="J229" s="2">
        <v>5.32</v>
      </c>
      <c r="K229" s="2">
        <v>0</v>
      </c>
      <c r="L229" s="2"/>
      <c r="M229" s="2">
        <v>529598.93999999994</v>
      </c>
      <c r="N229" s="2">
        <v>84334.33</v>
      </c>
    </row>
    <row r="230" spans="1:14">
      <c r="A230" s="2" t="s">
        <v>79</v>
      </c>
      <c r="B230" s="3">
        <v>45658</v>
      </c>
      <c r="C230" s="2" t="s">
        <v>15</v>
      </c>
      <c r="D230" s="2" t="s">
        <v>18</v>
      </c>
      <c r="E230" s="2">
        <v>37324.230000000003</v>
      </c>
      <c r="F230" s="2">
        <v>5957</v>
      </c>
      <c r="G230" s="2">
        <v>7.0999999999999994E-2</v>
      </c>
      <c r="H230" s="2">
        <v>12</v>
      </c>
      <c r="I230" s="2">
        <v>85.9</v>
      </c>
      <c r="J230" s="2">
        <v>0.37</v>
      </c>
      <c r="K230" s="2">
        <v>0</v>
      </c>
      <c r="L230" s="2">
        <v>3.8</v>
      </c>
      <c r="M230" s="2">
        <v>570963.31000000006</v>
      </c>
      <c r="N230" s="2">
        <v>87342.25</v>
      </c>
    </row>
    <row r="231" spans="1:14">
      <c r="A231" s="2" t="s">
        <v>79</v>
      </c>
      <c r="B231" s="3">
        <v>45689</v>
      </c>
      <c r="C231" s="2" t="s">
        <v>15</v>
      </c>
      <c r="D231" s="2" t="s">
        <v>18</v>
      </c>
      <c r="E231" s="2">
        <v>113736</v>
      </c>
      <c r="F231" s="2">
        <v>8961</v>
      </c>
      <c r="G231" s="2">
        <v>0.20200000000000001</v>
      </c>
      <c r="H231" s="2">
        <v>24</v>
      </c>
      <c r="I231" s="2">
        <v>86.2</v>
      </c>
      <c r="J231" s="2">
        <v>21.63</v>
      </c>
      <c r="K231" s="2">
        <v>0</v>
      </c>
      <c r="L231" s="2">
        <v>4</v>
      </c>
      <c r="M231" s="2">
        <v>870937.4</v>
      </c>
      <c r="N231" s="2">
        <v>175282.74</v>
      </c>
    </row>
    <row r="232" spans="1:14">
      <c r="A232" s="2" t="s">
        <v>79</v>
      </c>
      <c r="B232" s="3">
        <v>45717</v>
      </c>
      <c r="C232" s="2" t="s">
        <v>15</v>
      </c>
      <c r="D232" s="2" t="s">
        <v>18</v>
      </c>
      <c r="E232" s="2">
        <v>33173.949999999997</v>
      </c>
      <c r="F232" s="2">
        <v>6545</v>
      </c>
      <c r="G232" s="2">
        <v>0.16900000000000001</v>
      </c>
      <c r="H232" s="2">
        <v>15</v>
      </c>
      <c r="I232" s="2">
        <v>84.4</v>
      </c>
      <c r="J232" s="2">
        <v>2.48</v>
      </c>
      <c r="K232" s="2">
        <v>0</v>
      </c>
      <c r="L232" s="2">
        <v>3.9</v>
      </c>
      <c r="M232" s="2">
        <v>596969.27</v>
      </c>
      <c r="N232" s="2">
        <v>105669.51</v>
      </c>
    </row>
    <row r="233" spans="1:14">
      <c r="A233" s="2" t="s">
        <v>79</v>
      </c>
      <c r="B233" s="3">
        <v>45748</v>
      </c>
      <c r="C233" s="2" t="s">
        <v>15</v>
      </c>
      <c r="D233" s="2" t="s">
        <v>18</v>
      </c>
      <c r="E233" s="2">
        <v>25818.080000000002</v>
      </c>
      <c r="F233" s="2">
        <v>5457</v>
      </c>
      <c r="G233" s="2">
        <v>0</v>
      </c>
      <c r="H233" s="2">
        <v>11</v>
      </c>
      <c r="I233" s="2">
        <v>95.4</v>
      </c>
      <c r="J233" s="2"/>
      <c r="K233" s="2">
        <v>0</v>
      </c>
      <c r="L233" s="2">
        <v>3.7</v>
      </c>
      <c r="M233" s="2">
        <v>647512.85</v>
      </c>
      <c r="N233" s="2">
        <v>153835.57</v>
      </c>
    </row>
    <row r="234" spans="1:14">
      <c r="A234" s="2" t="s">
        <v>80</v>
      </c>
      <c r="B234" s="3">
        <v>45658</v>
      </c>
      <c r="C234" s="2" t="s">
        <v>27</v>
      </c>
      <c r="D234" s="2" t="s">
        <v>16</v>
      </c>
      <c r="E234" s="2">
        <v>47241.919999999998</v>
      </c>
      <c r="F234" s="2">
        <v>4264</v>
      </c>
      <c r="G234" s="2">
        <v>6.9000000000000006E-2</v>
      </c>
      <c r="H234" s="2">
        <v>13</v>
      </c>
      <c r="I234" s="2">
        <v>95.3</v>
      </c>
      <c r="J234" s="2">
        <v>0.85</v>
      </c>
      <c r="K234" s="2">
        <v>0</v>
      </c>
      <c r="L234" s="2">
        <v>4.3</v>
      </c>
      <c r="M234" s="2">
        <v>658072.14</v>
      </c>
      <c r="N234" s="2">
        <v>110595.89</v>
      </c>
    </row>
    <row r="235" spans="1:14">
      <c r="A235" s="2" t="s">
        <v>80</v>
      </c>
      <c r="B235" s="3">
        <v>45689</v>
      </c>
      <c r="C235" s="2" t="s">
        <v>27</v>
      </c>
      <c r="D235" s="2" t="s">
        <v>16</v>
      </c>
      <c r="E235" s="2">
        <v>61650.79</v>
      </c>
      <c r="F235" s="2">
        <v>5321</v>
      </c>
      <c r="G235" s="2">
        <v>0.126</v>
      </c>
      <c r="H235" s="2">
        <v>17</v>
      </c>
      <c r="I235" s="2">
        <v>89.2</v>
      </c>
      <c r="J235" s="2">
        <v>2.13</v>
      </c>
      <c r="K235" s="2">
        <v>0</v>
      </c>
      <c r="L235" s="2">
        <v>4</v>
      </c>
      <c r="M235" s="2">
        <v>723305.11</v>
      </c>
      <c r="N235" s="2">
        <v>128468.7</v>
      </c>
    </row>
    <row r="236" spans="1:14">
      <c r="A236" s="2" t="s">
        <v>80</v>
      </c>
      <c r="B236" s="3">
        <v>45717</v>
      </c>
      <c r="C236" s="2" t="s">
        <v>27</v>
      </c>
      <c r="D236" s="2" t="s">
        <v>16</v>
      </c>
      <c r="E236" s="2">
        <v>62582.71</v>
      </c>
      <c r="F236" s="2">
        <v>5479</v>
      </c>
      <c r="G236" s="2">
        <v>4.8000000000000001E-2</v>
      </c>
      <c r="H236" s="2">
        <v>16</v>
      </c>
      <c r="I236" s="2">
        <v>81.2</v>
      </c>
      <c r="J236" s="2">
        <v>1.46</v>
      </c>
      <c r="K236" s="2">
        <v>0</v>
      </c>
      <c r="L236" s="2">
        <v>4.5</v>
      </c>
      <c r="M236" s="2">
        <v>640666.53</v>
      </c>
      <c r="N236" s="2">
        <v>134919.16</v>
      </c>
    </row>
    <row r="237" spans="1:14">
      <c r="A237" s="2" t="s">
        <v>80</v>
      </c>
      <c r="B237" s="3">
        <v>45748</v>
      </c>
      <c r="C237" s="2" t="s">
        <v>27</v>
      </c>
      <c r="D237" s="2" t="s">
        <v>16</v>
      </c>
      <c r="E237" s="2">
        <v>47944.14</v>
      </c>
      <c r="F237" s="2">
        <v>6169</v>
      </c>
      <c r="G237" s="2">
        <v>0.11899999999999999</v>
      </c>
      <c r="H237" s="2">
        <v>17</v>
      </c>
      <c r="I237" s="2">
        <v>92.2</v>
      </c>
      <c r="J237" s="2">
        <v>3.02</v>
      </c>
      <c r="K237" s="2">
        <v>0</v>
      </c>
      <c r="L237" s="2">
        <v>4.0999999999999996</v>
      </c>
      <c r="M237" s="2">
        <v>670629.48</v>
      </c>
      <c r="N237" s="2">
        <v>100140.8</v>
      </c>
    </row>
    <row r="238" spans="1:14">
      <c r="A238" s="2" t="s">
        <v>81</v>
      </c>
      <c r="B238" s="3">
        <v>45658</v>
      </c>
      <c r="C238" s="2" t="s">
        <v>27</v>
      </c>
      <c r="D238" s="2" t="s">
        <v>28</v>
      </c>
      <c r="E238" s="2">
        <v>46495.4</v>
      </c>
      <c r="F238" s="2">
        <v>9908</v>
      </c>
      <c r="G238" s="2">
        <v>0.121</v>
      </c>
      <c r="H238" s="2">
        <v>22</v>
      </c>
      <c r="I238" s="2">
        <v>89.4</v>
      </c>
      <c r="J238" s="2">
        <v>3.22</v>
      </c>
      <c r="K238" s="2">
        <v>0</v>
      </c>
      <c r="L238" s="2">
        <v>3.7</v>
      </c>
      <c r="M238" s="2">
        <v>721079.35</v>
      </c>
      <c r="N238" s="2">
        <v>115295.05</v>
      </c>
    </row>
    <row r="239" spans="1:14">
      <c r="A239" s="2" t="s">
        <v>81</v>
      </c>
      <c r="B239" s="3">
        <v>45689</v>
      </c>
      <c r="C239" s="2" t="s">
        <v>27</v>
      </c>
      <c r="D239" s="2" t="s">
        <v>28</v>
      </c>
      <c r="E239" s="2">
        <v>72961.95</v>
      </c>
      <c r="F239" s="2">
        <v>9996</v>
      </c>
      <c r="G239" s="2">
        <v>0.106</v>
      </c>
      <c r="H239" s="2">
        <v>22</v>
      </c>
      <c r="I239" s="2">
        <v>89.1</v>
      </c>
      <c r="J239" s="2">
        <v>15.66</v>
      </c>
      <c r="K239" s="2">
        <v>0</v>
      </c>
      <c r="L239" s="2">
        <v>3.4</v>
      </c>
      <c r="M239" s="2">
        <v>810355.02</v>
      </c>
      <c r="N239" s="2">
        <v>131510</v>
      </c>
    </row>
    <row r="240" spans="1:14">
      <c r="A240" s="2" t="s">
        <v>81</v>
      </c>
      <c r="B240" s="3">
        <v>45717</v>
      </c>
      <c r="C240" s="2" t="s">
        <v>27</v>
      </c>
      <c r="D240" s="2" t="s">
        <v>28</v>
      </c>
      <c r="E240" s="2">
        <v>59060.05</v>
      </c>
      <c r="F240" s="2">
        <v>9702</v>
      </c>
      <c r="G240" s="2">
        <v>0.20100000000000001</v>
      </c>
      <c r="H240" s="2">
        <v>23</v>
      </c>
      <c r="I240" s="2">
        <v>80.900000000000006</v>
      </c>
      <c r="J240" s="2">
        <v>6.96</v>
      </c>
      <c r="K240" s="2">
        <v>0</v>
      </c>
      <c r="L240" s="2">
        <v>3.2</v>
      </c>
      <c r="M240" s="2">
        <v>761919.25</v>
      </c>
      <c r="N240" s="2">
        <v>111893.06</v>
      </c>
    </row>
    <row r="241" spans="1:14">
      <c r="A241" s="2" t="s">
        <v>81</v>
      </c>
      <c r="B241" s="3">
        <v>45748</v>
      </c>
      <c r="C241" s="2" t="s">
        <v>27</v>
      </c>
      <c r="D241" s="2" t="s">
        <v>28</v>
      </c>
      <c r="E241" s="2">
        <v>26248.1</v>
      </c>
      <c r="F241" s="2">
        <v>9314</v>
      </c>
      <c r="G241" s="2">
        <v>0.186</v>
      </c>
      <c r="H241" s="2">
        <v>21</v>
      </c>
      <c r="I241" s="2">
        <v>83.7</v>
      </c>
      <c r="J241" s="2">
        <v>4.62</v>
      </c>
      <c r="K241" s="2">
        <v>0</v>
      </c>
      <c r="L241" s="2">
        <v>3.3</v>
      </c>
      <c r="M241" s="2">
        <v>737070.18</v>
      </c>
      <c r="N241" s="2">
        <v>117593.97</v>
      </c>
    </row>
    <row r="242" spans="1:14">
      <c r="A242" s="2" t="s">
        <v>82</v>
      </c>
      <c r="B242" s="3">
        <v>45658</v>
      </c>
      <c r="C242" s="2" t="s">
        <v>24</v>
      </c>
      <c r="D242" s="2" t="s">
        <v>21</v>
      </c>
      <c r="E242" s="2">
        <v>69900.12</v>
      </c>
      <c r="F242" s="2">
        <v>8055</v>
      </c>
      <c r="G242" s="2">
        <v>0.28100000000000003</v>
      </c>
      <c r="H242" s="2">
        <v>22</v>
      </c>
      <c r="I242" s="2">
        <v>85.6</v>
      </c>
      <c r="J242" s="2">
        <v>10.68</v>
      </c>
      <c r="K242" s="2">
        <v>1</v>
      </c>
      <c r="L242" s="2">
        <v>2.9</v>
      </c>
      <c r="M242" s="2">
        <v>776992.93</v>
      </c>
      <c r="N242" s="2">
        <v>101598.32</v>
      </c>
    </row>
    <row r="243" spans="1:14">
      <c r="A243" s="2" t="s">
        <v>82</v>
      </c>
      <c r="B243" s="3">
        <v>45689</v>
      </c>
      <c r="C243" s="2" t="s">
        <v>24</v>
      </c>
      <c r="D243" s="2" t="s">
        <v>21</v>
      </c>
      <c r="E243" s="2">
        <v>51781.599999999999</v>
      </c>
      <c r="F243" s="2">
        <v>5648</v>
      </c>
      <c r="G243" s="2">
        <v>5.8999999999999997E-2</v>
      </c>
      <c r="H243" s="2">
        <v>13</v>
      </c>
      <c r="I243" s="2">
        <v>85.5</v>
      </c>
      <c r="J243" s="2">
        <v>4.04</v>
      </c>
      <c r="K243" s="2">
        <v>0</v>
      </c>
      <c r="L243" s="2">
        <v>3.7</v>
      </c>
      <c r="M243" s="2">
        <v>676337.41</v>
      </c>
      <c r="N243" s="2">
        <v>104355.77</v>
      </c>
    </row>
    <row r="244" spans="1:14">
      <c r="A244" s="2" t="s">
        <v>82</v>
      </c>
      <c r="B244" s="3">
        <v>45717</v>
      </c>
      <c r="C244" s="2" t="s">
        <v>24</v>
      </c>
      <c r="D244" s="2" t="s">
        <v>21</v>
      </c>
      <c r="E244" s="2">
        <v>70799.64</v>
      </c>
      <c r="F244" s="2">
        <v>10076</v>
      </c>
      <c r="G244" s="2">
        <v>0.152</v>
      </c>
      <c r="H244" s="2">
        <v>24</v>
      </c>
      <c r="I244" s="2">
        <v>84.8</v>
      </c>
      <c r="J244" s="2">
        <v>1.87</v>
      </c>
      <c r="K244" s="2">
        <v>0</v>
      </c>
      <c r="L244" s="2">
        <v>3.5</v>
      </c>
      <c r="M244" s="2">
        <v>828219.67</v>
      </c>
      <c r="N244" s="2">
        <v>179806.87</v>
      </c>
    </row>
    <row r="245" spans="1:14">
      <c r="A245" s="2" t="s">
        <v>82</v>
      </c>
      <c r="B245" s="3">
        <v>45748</v>
      </c>
      <c r="C245" s="2" t="s">
        <v>24</v>
      </c>
      <c r="D245" s="2" t="s">
        <v>21</v>
      </c>
      <c r="E245" s="2">
        <v>53546.34</v>
      </c>
      <c r="F245" s="2">
        <v>8004</v>
      </c>
      <c r="G245" s="2">
        <v>0</v>
      </c>
      <c r="H245" s="2">
        <v>21</v>
      </c>
      <c r="I245" s="2">
        <v>95.2</v>
      </c>
      <c r="J245" s="2">
        <v>2.83</v>
      </c>
      <c r="K245" s="2">
        <v>0</v>
      </c>
      <c r="L245" s="2">
        <v>3</v>
      </c>
      <c r="M245" s="2">
        <v>763159.92</v>
      </c>
      <c r="N245" s="2">
        <v>177104.87</v>
      </c>
    </row>
    <row r="246" spans="1:14">
      <c r="A246" s="2" t="s">
        <v>83</v>
      </c>
      <c r="B246" s="3">
        <v>45658</v>
      </c>
      <c r="C246" s="2" t="s">
        <v>15</v>
      </c>
      <c r="D246" s="2" t="s">
        <v>18</v>
      </c>
      <c r="E246" s="2">
        <v>76942.2</v>
      </c>
      <c r="F246" s="2">
        <v>8934</v>
      </c>
      <c r="G246" s="2">
        <v>8.4000000000000005E-2</v>
      </c>
      <c r="H246" s="2">
        <v>20</v>
      </c>
      <c r="I246" s="2">
        <v>91</v>
      </c>
      <c r="J246" s="2">
        <v>0.95</v>
      </c>
      <c r="K246" s="2">
        <v>0</v>
      </c>
      <c r="L246" s="2">
        <v>3.2</v>
      </c>
      <c r="M246" s="2">
        <v>802001.68</v>
      </c>
      <c r="N246" s="2">
        <v>159715.82</v>
      </c>
    </row>
    <row r="247" spans="1:14">
      <c r="A247" s="2" t="s">
        <v>83</v>
      </c>
      <c r="B247" s="3">
        <v>45689</v>
      </c>
      <c r="C247" s="2" t="s">
        <v>15</v>
      </c>
      <c r="D247" s="2" t="s">
        <v>18</v>
      </c>
      <c r="E247" s="2">
        <v>48060.78</v>
      </c>
      <c r="F247" s="2">
        <v>8733</v>
      </c>
      <c r="G247" s="2">
        <v>0</v>
      </c>
      <c r="H247" s="2">
        <v>20</v>
      </c>
      <c r="I247" s="2">
        <v>89.9</v>
      </c>
      <c r="J247" s="2">
        <v>0.8</v>
      </c>
      <c r="K247" s="2">
        <v>0</v>
      </c>
      <c r="L247" s="2">
        <v>3.4</v>
      </c>
      <c r="M247" s="2">
        <v>750471.34</v>
      </c>
      <c r="N247" s="2">
        <v>133788.04</v>
      </c>
    </row>
    <row r="248" spans="1:14">
      <c r="A248" s="2" t="s">
        <v>83</v>
      </c>
      <c r="B248" s="3">
        <v>45717</v>
      </c>
      <c r="C248" s="2" t="s">
        <v>15</v>
      </c>
      <c r="D248" s="2" t="s">
        <v>18</v>
      </c>
      <c r="E248" s="2">
        <v>57390.04</v>
      </c>
      <c r="F248" s="2">
        <v>7374</v>
      </c>
      <c r="G248" s="2">
        <v>0.21</v>
      </c>
      <c r="H248" s="2">
        <v>21</v>
      </c>
      <c r="I248" s="2">
        <v>91.8</v>
      </c>
      <c r="J248" s="2">
        <v>0.2</v>
      </c>
      <c r="K248" s="2">
        <v>0</v>
      </c>
      <c r="L248" s="2">
        <v>3.1</v>
      </c>
      <c r="M248" s="2">
        <v>679230.86</v>
      </c>
      <c r="N248" s="2">
        <v>106927.58</v>
      </c>
    </row>
    <row r="249" spans="1:14">
      <c r="A249" s="2" t="s">
        <v>83</v>
      </c>
      <c r="B249" s="3">
        <v>45748</v>
      </c>
      <c r="C249" s="2" t="s">
        <v>15</v>
      </c>
      <c r="D249" s="2" t="s">
        <v>18</v>
      </c>
      <c r="E249" s="2">
        <v>21536.18</v>
      </c>
      <c r="F249" s="2">
        <v>8119</v>
      </c>
      <c r="G249" s="2">
        <v>0.22700000000000001</v>
      </c>
      <c r="H249" s="2">
        <v>20</v>
      </c>
      <c r="I249" s="2">
        <v>90.4</v>
      </c>
      <c r="J249" s="2">
        <v>1.7</v>
      </c>
      <c r="K249" s="2">
        <v>0</v>
      </c>
      <c r="L249" s="2">
        <v>3.3</v>
      </c>
      <c r="M249" s="2">
        <v>679888.74</v>
      </c>
      <c r="N249" s="2">
        <v>83406.89</v>
      </c>
    </row>
    <row r="250" spans="1:14">
      <c r="A250" s="2" t="s">
        <v>84</v>
      </c>
      <c r="B250" s="3">
        <v>45658</v>
      </c>
      <c r="C250" s="2" t="s">
        <v>20</v>
      </c>
      <c r="D250" s="2" t="s">
        <v>18</v>
      </c>
      <c r="E250" s="2">
        <v>40923.67</v>
      </c>
      <c r="F250" s="2">
        <v>3875</v>
      </c>
      <c r="G250" s="2">
        <v>0.15</v>
      </c>
      <c r="H250" s="2">
        <v>10</v>
      </c>
      <c r="I250" s="2">
        <v>96.1</v>
      </c>
      <c r="J250" s="2"/>
      <c r="K250" s="2">
        <v>0</v>
      </c>
      <c r="L250" s="2">
        <v>3.8</v>
      </c>
      <c r="M250" s="2">
        <v>606783.67000000004</v>
      </c>
      <c r="N250" s="2">
        <v>74515.87</v>
      </c>
    </row>
    <row r="251" spans="1:14">
      <c r="A251" s="2" t="s">
        <v>84</v>
      </c>
      <c r="B251" s="3">
        <v>45689</v>
      </c>
      <c r="C251" s="2" t="s">
        <v>20</v>
      </c>
      <c r="D251" s="2" t="s">
        <v>18</v>
      </c>
      <c r="E251" s="2">
        <v>72932.55</v>
      </c>
      <c r="F251" s="2">
        <v>5765</v>
      </c>
      <c r="G251" s="2">
        <v>2.5999999999999999E-2</v>
      </c>
      <c r="H251" s="2">
        <v>17</v>
      </c>
      <c r="I251" s="2">
        <v>81.8</v>
      </c>
      <c r="J251" s="2">
        <v>5.0999999999999996</v>
      </c>
      <c r="K251" s="2">
        <v>0</v>
      </c>
      <c r="L251" s="2">
        <v>3.6</v>
      </c>
      <c r="M251" s="2">
        <v>642751.42000000004</v>
      </c>
      <c r="N251" s="2">
        <v>131942.15</v>
      </c>
    </row>
    <row r="252" spans="1:14">
      <c r="A252" s="2" t="s">
        <v>84</v>
      </c>
      <c r="B252" s="3">
        <v>45717</v>
      </c>
      <c r="C252" s="2" t="s">
        <v>20</v>
      </c>
      <c r="D252" s="2" t="s">
        <v>18</v>
      </c>
      <c r="E252" s="2">
        <v>38361.93</v>
      </c>
      <c r="F252" s="2">
        <v>6322</v>
      </c>
      <c r="G252" s="2">
        <v>0.27300000000000002</v>
      </c>
      <c r="H252" s="2">
        <v>15</v>
      </c>
      <c r="I252" s="2">
        <v>88.4</v>
      </c>
      <c r="J252" s="2">
        <v>0.83</v>
      </c>
      <c r="K252" s="2">
        <v>0</v>
      </c>
      <c r="L252" s="2">
        <v>4</v>
      </c>
      <c r="M252" s="2">
        <v>647953.78</v>
      </c>
      <c r="N252" s="2">
        <v>118497.43</v>
      </c>
    </row>
    <row r="253" spans="1:14">
      <c r="A253" s="2" t="s">
        <v>84</v>
      </c>
      <c r="B253" s="3">
        <v>45748</v>
      </c>
      <c r="C253" s="2" t="s">
        <v>20</v>
      </c>
      <c r="D253" s="2" t="s">
        <v>18</v>
      </c>
      <c r="E253" s="2">
        <v>97480.94</v>
      </c>
      <c r="F253" s="2">
        <v>6840</v>
      </c>
      <c r="G253" s="2">
        <v>8.6999999999999994E-2</v>
      </c>
      <c r="H253" s="2">
        <v>14</v>
      </c>
      <c r="I253" s="2">
        <v>79.2</v>
      </c>
      <c r="J253" s="2">
        <v>1.1399999999999999</v>
      </c>
      <c r="K253" s="2">
        <v>0</v>
      </c>
      <c r="L253" s="2">
        <v>4</v>
      </c>
      <c r="M253" s="2">
        <v>729440.45</v>
      </c>
      <c r="N253" s="2">
        <v>87614.29</v>
      </c>
    </row>
    <row r="254" spans="1:14">
      <c r="A254" s="2" t="s">
        <v>85</v>
      </c>
      <c r="B254" s="3">
        <v>45658</v>
      </c>
      <c r="C254" s="2" t="s">
        <v>24</v>
      </c>
      <c r="D254" s="2" t="s">
        <v>21</v>
      </c>
      <c r="E254" s="2">
        <v>81801.8</v>
      </c>
      <c r="F254" s="2">
        <v>6782</v>
      </c>
      <c r="G254" s="2">
        <v>0.05</v>
      </c>
      <c r="H254" s="2">
        <v>16</v>
      </c>
      <c r="I254" s="2">
        <v>99</v>
      </c>
      <c r="J254" s="2">
        <v>9.5399999999999991</v>
      </c>
      <c r="K254" s="2">
        <v>0</v>
      </c>
      <c r="L254" s="2">
        <v>3.7</v>
      </c>
      <c r="M254" s="2">
        <v>764949</v>
      </c>
      <c r="N254" s="2">
        <v>148322.43</v>
      </c>
    </row>
    <row r="255" spans="1:14">
      <c r="A255" s="2" t="s">
        <v>85</v>
      </c>
      <c r="B255" s="3">
        <v>45689</v>
      </c>
      <c r="C255" s="2" t="s">
        <v>24</v>
      </c>
      <c r="D255" s="2" t="s">
        <v>21</v>
      </c>
      <c r="E255" s="2">
        <v>63582.11</v>
      </c>
      <c r="F255" s="2">
        <v>6856</v>
      </c>
      <c r="G255" s="2">
        <v>7.3999999999999996E-2</v>
      </c>
      <c r="H255" s="2">
        <v>17</v>
      </c>
      <c r="I255" s="2">
        <v>89.5</v>
      </c>
      <c r="J255" s="2">
        <v>5.48</v>
      </c>
      <c r="K255" s="2">
        <v>0</v>
      </c>
      <c r="L255" s="2">
        <v>3.2</v>
      </c>
      <c r="M255" s="2">
        <v>799046.94</v>
      </c>
      <c r="N255" s="2">
        <v>144553.64000000001</v>
      </c>
    </row>
    <row r="256" spans="1:14">
      <c r="A256" s="2" t="s">
        <v>85</v>
      </c>
      <c r="B256" s="3">
        <v>45717</v>
      </c>
      <c r="C256" s="2" t="s">
        <v>24</v>
      </c>
      <c r="D256" s="2" t="s">
        <v>21</v>
      </c>
      <c r="E256" s="2">
        <v>75412.740000000005</v>
      </c>
      <c r="F256" s="2">
        <v>5641</v>
      </c>
      <c r="G256" s="2">
        <v>5.8999999999999997E-2</v>
      </c>
      <c r="H256" s="2">
        <v>13</v>
      </c>
      <c r="I256" s="2">
        <v>87.9</v>
      </c>
      <c r="J256" s="2">
        <v>0.84</v>
      </c>
      <c r="K256" s="2">
        <v>0</v>
      </c>
      <c r="L256" s="2">
        <v>3.6</v>
      </c>
      <c r="M256" s="2">
        <v>720079.54</v>
      </c>
      <c r="N256" s="2">
        <v>119499.47</v>
      </c>
    </row>
    <row r="257" spans="1:14">
      <c r="A257" s="2" t="s">
        <v>85</v>
      </c>
      <c r="B257" s="3">
        <v>45748</v>
      </c>
      <c r="C257" s="2" t="s">
        <v>24</v>
      </c>
      <c r="D257" s="2" t="s">
        <v>21</v>
      </c>
      <c r="E257" s="2">
        <v>36290.080000000002</v>
      </c>
      <c r="F257" s="2">
        <v>5787</v>
      </c>
      <c r="G257" s="2">
        <v>0</v>
      </c>
      <c r="H257" s="2">
        <v>17</v>
      </c>
      <c r="I257" s="2">
        <v>88.3</v>
      </c>
      <c r="J257" s="2">
        <v>4.1900000000000004</v>
      </c>
      <c r="K257" s="2">
        <v>0</v>
      </c>
      <c r="L257" s="2">
        <v>4.0999999999999996</v>
      </c>
      <c r="M257" s="2">
        <v>612390.14</v>
      </c>
      <c r="N257" s="2">
        <v>108985.74</v>
      </c>
    </row>
    <row r="258" spans="1:14">
      <c r="A258" s="2" t="s">
        <v>86</v>
      </c>
      <c r="B258" s="3">
        <v>45658</v>
      </c>
      <c r="C258" s="2" t="s">
        <v>24</v>
      </c>
      <c r="D258" s="2" t="s">
        <v>28</v>
      </c>
      <c r="E258" s="2">
        <v>65272.58</v>
      </c>
      <c r="F258" s="2">
        <v>8165</v>
      </c>
      <c r="G258" s="2">
        <v>5.0999999999999997E-2</v>
      </c>
      <c r="H258" s="2">
        <v>19</v>
      </c>
      <c r="I258" s="2">
        <v>87.8</v>
      </c>
      <c r="J258" s="2">
        <v>1.26</v>
      </c>
      <c r="K258" s="2">
        <v>1</v>
      </c>
      <c r="L258" s="2">
        <v>4.3</v>
      </c>
      <c r="M258" s="2">
        <v>840108.12</v>
      </c>
      <c r="N258" s="2">
        <v>126587.01</v>
      </c>
    </row>
    <row r="259" spans="1:14">
      <c r="A259" s="2" t="s">
        <v>86</v>
      </c>
      <c r="B259" s="3">
        <v>45689</v>
      </c>
      <c r="C259" s="2" t="s">
        <v>24</v>
      </c>
      <c r="D259" s="2" t="s">
        <v>28</v>
      </c>
      <c r="E259" s="2">
        <v>28670.43</v>
      </c>
      <c r="F259" s="2">
        <v>7574</v>
      </c>
      <c r="G259" s="2">
        <v>0.114</v>
      </c>
      <c r="H259" s="2">
        <v>19</v>
      </c>
      <c r="I259" s="2">
        <v>82.7</v>
      </c>
      <c r="J259" s="2">
        <v>2.74</v>
      </c>
      <c r="K259" s="2">
        <v>0</v>
      </c>
      <c r="L259" s="2">
        <v>4.5999999999999996</v>
      </c>
      <c r="M259" s="2">
        <v>697888.09</v>
      </c>
      <c r="N259" s="2">
        <v>116249.87</v>
      </c>
    </row>
    <row r="260" spans="1:14">
      <c r="A260" s="2" t="s">
        <v>86</v>
      </c>
      <c r="B260" s="3">
        <v>45717</v>
      </c>
      <c r="C260" s="2" t="s">
        <v>24</v>
      </c>
      <c r="D260" s="2" t="s">
        <v>28</v>
      </c>
      <c r="E260" s="2">
        <v>44189.34</v>
      </c>
      <c r="F260" s="2">
        <v>8634</v>
      </c>
      <c r="G260" s="2">
        <v>0.14299999999999999</v>
      </c>
      <c r="H260" s="2">
        <v>19</v>
      </c>
      <c r="I260" s="2">
        <v>87.5</v>
      </c>
      <c r="J260" s="2">
        <v>3.69</v>
      </c>
      <c r="K260" s="2">
        <v>0</v>
      </c>
      <c r="L260" s="2">
        <v>4.4000000000000004</v>
      </c>
      <c r="M260" s="2">
        <v>746115.59</v>
      </c>
      <c r="N260" s="2">
        <v>94662.96</v>
      </c>
    </row>
    <row r="261" spans="1:14">
      <c r="A261" s="2" t="s">
        <v>86</v>
      </c>
      <c r="B261" s="3">
        <v>45748</v>
      </c>
      <c r="C261" s="2" t="s">
        <v>24</v>
      </c>
      <c r="D261" s="2" t="s">
        <v>28</v>
      </c>
      <c r="E261" s="2">
        <v>38397.82</v>
      </c>
      <c r="F261" s="2">
        <v>7836</v>
      </c>
      <c r="G261" s="2">
        <v>7.0000000000000001E-3</v>
      </c>
      <c r="H261" s="2">
        <v>21</v>
      </c>
      <c r="I261" s="2">
        <v>92.2</v>
      </c>
      <c r="J261" s="2">
        <v>1.82</v>
      </c>
      <c r="K261" s="2">
        <v>0</v>
      </c>
      <c r="L261" s="2">
        <v>3.6</v>
      </c>
      <c r="M261" s="2">
        <v>776110.32</v>
      </c>
      <c r="N261" s="2">
        <v>139676.21</v>
      </c>
    </row>
    <row r="262" spans="1:14">
      <c r="A262" s="2" t="s">
        <v>87</v>
      </c>
      <c r="B262" s="3">
        <v>45658</v>
      </c>
      <c r="C262" s="2" t="s">
        <v>27</v>
      </c>
      <c r="D262" s="2" t="s">
        <v>18</v>
      </c>
      <c r="E262" s="2">
        <v>14519.37</v>
      </c>
      <c r="F262" s="2">
        <v>3047</v>
      </c>
      <c r="G262" s="2">
        <v>0.13500000000000001</v>
      </c>
      <c r="H262" s="2">
        <v>10</v>
      </c>
      <c r="I262" s="2">
        <v>90.3</v>
      </c>
      <c r="J262" s="2">
        <v>6.62</v>
      </c>
      <c r="K262" s="2">
        <v>0</v>
      </c>
      <c r="L262" s="2">
        <v>4.2</v>
      </c>
      <c r="M262" s="2">
        <v>528852.62</v>
      </c>
      <c r="N262" s="2">
        <v>68426.210000000006</v>
      </c>
    </row>
    <row r="263" spans="1:14">
      <c r="A263" s="2" t="s">
        <v>87</v>
      </c>
      <c r="B263" s="3">
        <v>45689</v>
      </c>
      <c r="C263" s="2" t="s">
        <v>27</v>
      </c>
      <c r="D263" s="2" t="s">
        <v>18</v>
      </c>
      <c r="E263" s="2">
        <v>43288.2</v>
      </c>
      <c r="F263" s="2">
        <v>4783</v>
      </c>
      <c r="G263" s="2">
        <v>0.16900000000000001</v>
      </c>
      <c r="H263" s="2">
        <v>13</v>
      </c>
      <c r="I263" s="2">
        <v>87.3</v>
      </c>
      <c r="J263" s="2"/>
      <c r="K263" s="2">
        <v>0</v>
      </c>
      <c r="L263" s="2">
        <v>4.2</v>
      </c>
      <c r="M263" s="2">
        <v>605751.32999999996</v>
      </c>
      <c r="N263" s="2">
        <v>60685.53</v>
      </c>
    </row>
    <row r="264" spans="1:14">
      <c r="A264" s="2" t="s">
        <v>87</v>
      </c>
      <c r="B264" s="3">
        <v>45717</v>
      </c>
      <c r="C264" s="2" t="s">
        <v>27</v>
      </c>
      <c r="D264" s="2" t="s">
        <v>18</v>
      </c>
      <c r="E264" s="2">
        <v>51450.55</v>
      </c>
      <c r="F264" s="2">
        <v>4902</v>
      </c>
      <c r="G264" s="2">
        <v>8.5999999999999993E-2</v>
      </c>
      <c r="H264" s="2">
        <v>11</v>
      </c>
      <c r="I264" s="2">
        <v>83.7</v>
      </c>
      <c r="J264" s="2">
        <v>6.92</v>
      </c>
      <c r="K264" s="2">
        <v>1</v>
      </c>
      <c r="L264" s="2">
        <v>4.2</v>
      </c>
      <c r="M264" s="2">
        <v>677640.65</v>
      </c>
      <c r="N264" s="2">
        <v>111610.89</v>
      </c>
    </row>
    <row r="265" spans="1:14">
      <c r="A265" s="2" t="s">
        <v>87</v>
      </c>
      <c r="B265" s="3">
        <v>45748</v>
      </c>
      <c r="C265" s="2" t="s">
        <v>27</v>
      </c>
      <c r="D265" s="2" t="s">
        <v>18</v>
      </c>
      <c r="E265" s="2">
        <v>58688.26</v>
      </c>
      <c r="F265" s="2">
        <v>4022</v>
      </c>
      <c r="G265" s="2">
        <v>0.217</v>
      </c>
      <c r="H265" s="2">
        <v>12</v>
      </c>
      <c r="I265" s="2">
        <v>93.8</v>
      </c>
      <c r="J265" s="2">
        <v>11.78</v>
      </c>
      <c r="K265" s="2">
        <v>0</v>
      </c>
      <c r="L265" s="2">
        <v>3.7</v>
      </c>
      <c r="M265" s="2">
        <v>636613.23</v>
      </c>
      <c r="N265" s="2">
        <v>78908.350000000006</v>
      </c>
    </row>
    <row r="266" spans="1:14">
      <c r="A266" s="2" t="s">
        <v>88</v>
      </c>
      <c r="B266" s="3">
        <v>45658</v>
      </c>
      <c r="C266" s="2" t="s">
        <v>15</v>
      </c>
      <c r="D266" s="2" t="s">
        <v>18</v>
      </c>
      <c r="E266" s="2">
        <v>58981.91</v>
      </c>
      <c r="F266" s="2">
        <v>7324</v>
      </c>
      <c r="G266" s="2">
        <v>9.4E-2</v>
      </c>
      <c r="H266" s="2">
        <v>15</v>
      </c>
      <c r="I266" s="2">
        <v>95.8</v>
      </c>
      <c r="J266" s="2">
        <v>0.5</v>
      </c>
      <c r="K266" s="2">
        <v>0</v>
      </c>
      <c r="L266" s="2">
        <v>3.5</v>
      </c>
      <c r="M266" s="2">
        <v>708985.19</v>
      </c>
      <c r="N266" s="2">
        <v>125368.16</v>
      </c>
    </row>
    <row r="267" spans="1:14">
      <c r="A267" s="2" t="s">
        <v>88</v>
      </c>
      <c r="B267" s="3">
        <v>45689</v>
      </c>
      <c r="C267" s="2" t="s">
        <v>15</v>
      </c>
      <c r="D267" s="2" t="s">
        <v>18</v>
      </c>
      <c r="E267" s="2">
        <v>73454.539999999994</v>
      </c>
      <c r="F267" s="2">
        <v>8129</v>
      </c>
      <c r="G267" s="2">
        <v>0.21099999999999999</v>
      </c>
      <c r="H267" s="2">
        <v>20</v>
      </c>
      <c r="I267" s="2">
        <v>85.2</v>
      </c>
      <c r="J267" s="2">
        <v>0.88</v>
      </c>
      <c r="K267" s="2">
        <v>0</v>
      </c>
      <c r="L267" s="2">
        <v>3.7</v>
      </c>
      <c r="M267" s="2">
        <v>767792.94</v>
      </c>
      <c r="N267" s="2">
        <v>96235.77</v>
      </c>
    </row>
    <row r="268" spans="1:14">
      <c r="A268" s="2" t="s">
        <v>88</v>
      </c>
      <c r="B268" s="3">
        <v>45717</v>
      </c>
      <c r="C268" s="2" t="s">
        <v>15</v>
      </c>
      <c r="D268" s="2" t="s">
        <v>18</v>
      </c>
      <c r="E268" s="2">
        <v>56602.39</v>
      </c>
      <c r="F268" s="2">
        <v>7969</v>
      </c>
      <c r="G268" s="2">
        <v>0.17</v>
      </c>
      <c r="H268" s="2">
        <v>21</v>
      </c>
      <c r="I268" s="2">
        <v>88.3</v>
      </c>
      <c r="J268" s="2">
        <v>2.25</v>
      </c>
      <c r="K268" s="2">
        <v>0</v>
      </c>
      <c r="L268" s="2">
        <v>3.7</v>
      </c>
      <c r="M268" s="2">
        <v>745580.51</v>
      </c>
      <c r="N268" s="2">
        <v>116273.68</v>
      </c>
    </row>
    <row r="269" spans="1:14">
      <c r="A269" s="2" t="s">
        <v>88</v>
      </c>
      <c r="B269" s="3">
        <v>45748</v>
      </c>
      <c r="C269" s="2" t="s">
        <v>15</v>
      </c>
      <c r="D269" s="2" t="s">
        <v>18</v>
      </c>
      <c r="E269" s="2">
        <v>67722.289999999994</v>
      </c>
      <c r="F269" s="2">
        <v>7240</v>
      </c>
      <c r="G269" s="2">
        <v>2.5999999999999999E-2</v>
      </c>
      <c r="H269" s="2">
        <v>15</v>
      </c>
      <c r="I269" s="2">
        <v>92.9</v>
      </c>
      <c r="J269" s="2">
        <v>0.28999999999999998</v>
      </c>
      <c r="K269" s="2">
        <v>0</v>
      </c>
      <c r="L269" s="2">
        <v>3.5</v>
      </c>
      <c r="M269" s="2">
        <v>762328.31</v>
      </c>
      <c r="N269" s="2">
        <v>159158.19</v>
      </c>
    </row>
    <row r="270" spans="1:14">
      <c r="A270" s="2" t="s">
        <v>89</v>
      </c>
      <c r="B270" s="3">
        <v>45658</v>
      </c>
      <c r="C270" s="2" t="s">
        <v>15</v>
      </c>
      <c r="D270" s="2" t="s">
        <v>28</v>
      </c>
      <c r="E270" s="2">
        <v>48752.92</v>
      </c>
      <c r="F270" s="2">
        <v>8052</v>
      </c>
      <c r="G270" s="2">
        <v>0.106</v>
      </c>
      <c r="H270" s="2">
        <v>16</v>
      </c>
      <c r="I270" s="2">
        <v>94.9</v>
      </c>
      <c r="J270" s="2">
        <v>0.65</v>
      </c>
      <c r="K270" s="2">
        <v>0</v>
      </c>
      <c r="L270" s="2">
        <v>3.6</v>
      </c>
      <c r="M270" s="2">
        <v>660633.99</v>
      </c>
      <c r="N270" s="2">
        <v>118768.66</v>
      </c>
    </row>
    <row r="271" spans="1:14">
      <c r="A271" s="2" t="s">
        <v>89</v>
      </c>
      <c r="B271" s="3">
        <v>45689</v>
      </c>
      <c r="C271" s="2" t="s">
        <v>15</v>
      </c>
      <c r="D271" s="2" t="s">
        <v>28</v>
      </c>
      <c r="E271" s="2">
        <v>23914.97</v>
      </c>
      <c r="F271" s="2">
        <v>8018</v>
      </c>
      <c r="G271" s="2">
        <v>0.13900000000000001</v>
      </c>
      <c r="H271" s="2">
        <v>20</v>
      </c>
      <c r="I271" s="2">
        <v>89</v>
      </c>
      <c r="J271" s="2">
        <v>0.2</v>
      </c>
      <c r="K271" s="2">
        <v>0</v>
      </c>
      <c r="L271" s="2">
        <v>3.5</v>
      </c>
      <c r="M271" s="2">
        <v>739374.56</v>
      </c>
      <c r="N271" s="2">
        <v>121032.29</v>
      </c>
    </row>
    <row r="272" spans="1:14">
      <c r="A272" s="2" t="s">
        <v>89</v>
      </c>
      <c r="B272" s="3">
        <v>45717</v>
      </c>
      <c r="C272" s="2" t="s">
        <v>15</v>
      </c>
      <c r="D272" s="2" t="s">
        <v>28</v>
      </c>
      <c r="E272" s="2">
        <v>61995.3</v>
      </c>
      <c r="F272" s="2">
        <v>10192</v>
      </c>
      <c r="G272" s="2">
        <v>0.19800000000000001</v>
      </c>
      <c r="H272" s="2">
        <v>21</v>
      </c>
      <c r="I272" s="2">
        <v>87.6</v>
      </c>
      <c r="J272" s="2">
        <v>3.63</v>
      </c>
      <c r="K272" s="2">
        <v>1</v>
      </c>
      <c r="L272" s="2">
        <v>3.8</v>
      </c>
      <c r="M272" s="2">
        <v>799756.46</v>
      </c>
      <c r="N272" s="2">
        <v>105052.93</v>
      </c>
    </row>
    <row r="273" spans="1:14">
      <c r="A273" s="2" t="s">
        <v>89</v>
      </c>
      <c r="B273" s="3">
        <v>45748</v>
      </c>
      <c r="C273" s="2" t="s">
        <v>15</v>
      </c>
      <c r="D273" s="2" t="s">
        <v>28</v>
      </c>
      <c r="E273" s="2">
        <v>29344.93</v>
      </c>
      <c r="F273" s="2">
        <v>7446</v>
      </c>
      <c r="G273" s="2">
        <v>0.111</v>
      </c>
      <c r="H273" s="2">
        <v>15</v>
      </c>
      <c r="I273" s="2">
        <v>86.2</v>
      </c>
      <c r="J273" s="2">
        <v>0.2</v>
      </c>
      <c r="K273" s="2">
        <v>0</v>
      </c>
      <c r="L273" s="2">
        <v>3.2</v>
      </c>
      <c r="M273" s="2">
        <v>593343</v>
      </c>
      <c r="N273" s="2">
        <v>82832.240000000005</v>
      </c>
    </row>
    <row r="274" spans="1:14">
      <c r="A274" s="2" t="s">
        <v>90</v>
      </c>
      <c r="B274" s="3">
        <v>45658</v>
      </c>
      <c r="C274" s="2" t="s">
        <v>27</v>
      </c>
      <c r="D274" s="2" t="s">
        <v>18</v>
      </c>
      <c r="E274" s="2">
        <v>50532.17</v>
      </c>
      <c r="F274" s="2">
        <v>5689</v>
      </c>
      <c r="G274" s="2">
        <v>5.1999999999999998E-2</v>
      </c>
      <c r="H274" s="2">
        <v>17</v>
      </c>
      <c r="I274" s="2">
        <v>85.6</v>
      </c>
      <c r="J274" s="2">
        <v>6.23</v>
      </c>
      <c r="K274" s="2">
        <v>0</v>
      </c>
      <c r="L274" s="2">
        <v>3.3</v>
      </c>
      <c r="M274" s="2">
        <v>645039.97</v>
      </c>
      <c r="N274" s="2">
        <v>83093.33</v>
      </c>
    </row>
    <row r="275" spans="1:14">
      <c r="A275" s="2" t="s">
        <v>90</v>
      </c>
      <c r="B275" s="3">
        <v>45689</v>
      </c>
      <c r="C275" s="2" t="s">
        <v>27</v>
      </c>
      <c r="D275" s="2" t="s">
        <v>18</v>
      </c>
      <c r="E275" s="2">
        <v>17562.57</v>
      </c>
      <c r="F275" s="2">
        <v>3326</v>
      </c>
      <c r="G275" s="2">
        <v>0.153</v>
      </c>
      <c r="H275" s="2">
        <v>14</v>
      </c>
      <c r="I275" s="2">
        <v>88.1</v>
      </c>
      <c r="J275" s="2">
        <v>1.04</v>
      </c>
      <c r="K275" s="2">
        <v>0</v>
      </c>
      <c r="L275" s="2">
        <v>3.1</v>
      </c>
      <c r="M275" s="2">
        <v>561597.32999999996</v>
      </c>
      <c r="N275" s="2">
        <v>75072.75</v>
      </c>
    </row>
    <row r="276" spans="1:14">
      <c r="A276" s="2" t="s">
        <v>90</v>
      </c>
      <c r="B276" s="3">
        <v>45717</v>
      </c>
      <c r="C276" s="2" t="s">
        <v>27</v>
      </c>
      <c r="D276" s="2" t="s">
        <v>18</v>
      </c>
      <c r="E276" s="2">
        <v>47648.71</v>
      </c>
      <c r="F276" s="2">
        <v>5767</v>
      </c>
      <c r="G276" s="2">
        <v>0.14099999999999999</v>
      </c>
      <c r="H276" s="2">
        <v>17</v>
      </c>
      <c r="I276" s="2">
        <v>89.8</v>
      </c>
      <c r="J276" s="2">
        <v>1.76</v>
      </c>
      <c r="K276" s="2">
        <v>0</v>
      </c>
      <c r="L276" s="2">
        <v>3.1</v>
      </c>
      <c r="M276" s="2">
        <v>635837.74</v>
      </c>
      <c r="N276" s="2">
        <v>114740.64</v>
      </c>
    </row>
    <row r="277" spans="1:14">
      <c r="A277" s="2" t="s">
        <v>90</v>
      </c>
      <c r="B277" s="3">
        <v>45748</v>
      </c>
      <c r="C277" s="2" t="s">
        <v>27</v>
      </c>
      <c r="D277" s="2" t="s">
        <v>18</v>
      </c>
      <c r="E277" s="2">
        <v>38297.58</v>
      </c>
      <c r="F277" s="2">
        <v>5893</v>
      </c>
      <c r="G277" s="2">
        <v>0.247</v>
      </c>
      <c r="H277" s="2">
        <v>18</v>
      </c>
      <c r="I277" s="2">
        <v>77.599999999999994</v>
      </c>
      <c r="J277" s="2">
        <v>2.86</v>
      </c>
      <c r="K277" s="2">
        <v>0</v>
      </c>
      <c r="L277" s="2">
        <v>3</v>
      </c>
      <c r="M277" s="2">
        <v>686737.87</v>
      </c>
      <c r="N277" s="2">
        <v>83839.67</v>
      </c>
    </row>
    <row r="278" spans="1:14">
      <c r="A278" s="2" t="s">
        <v>91</v>
      </c>
      <c r="B278" s="3">
        <v>45658</v>
      </c>
      <c r="C278" s="2" t="s">
        <v>24</v>
      </c>
      <c r="D278" s="2" t="s">
        <v>16</v>
      </c>
      <c r="E278" s="2">
        <v>61784.11</v>
      </c>
      <c r="F278" s="2">
        <v>8564</v>
      </c>
      <c r="G278" s="2">
        <v>0.13</v>
      </c>
      <c r="H278" s="2">
        <v>17</v>
      </c>
      <c r="I278" s="2">
        <v>87.4</v>
      </c>
      <c r="J278" s="2">
        <v>18.14</v>
      </c>
      <c r="K278" s="2">
        <v>1</v>
      </c>
      <c r="L278" s="2">
        <v>3.4</v>
      </c>
      <c r="M278" s="2">
        <v>673076.34</v>
      </c>
      <c r="N278" s="2">
        <v>93899.76</v>
      </c>
    </row>
    <row r="279" spans="1:14">
      <c r="A279" s="2" t="s">
        <v>91</v>
      </c>
      <c r="B279" s="3">
        <v>45689</v>
      </c>
      <c r="C279" s="2" t="s">
        <v>24</v>
      </c>
      <c r="D279" s="2" t="s">
        <v>16</v>
      </c>
      <c r="E279" s="2">
        <v>36832.33</v>
      </c>
      <c r="F279" s="2">
        <v>8001</v>
      </c>
      <c r="G279" s="2">
        <v>0</v>
      </c>
      <c r="H279" s="2">
        <v>19</v>
      </c>
      <c r="I279" s="2">
        <v>88.7</v>
      </c>
      <c r="J279" s="2">
        <v>3.39</v>
      </c>
      <c r="K279" s="2">
        <v>0</v>
      </c>
      <c r="L279" s="2">
        <v>4</v>
      </c>
      <c r="M279" s="2">
        <v>738548.42</v>
      </c>
      <c r="N279" s="2">
        <v>134282.76999999999</v>
      </c>
    </row>
    <row r="280" spans="1:14">
      <c r="A280" s="2" t="s">
        <v>91</v>
      </c>
      <c r="B280" s="3">
        <v>45717</v>
      </c>
      <c r="C280" s="2" t="s">
        <v>24</v>
      </c>
      <c r="D280" s="2" t="s">
        <v>16</v>
      </c>
      <c r="E280" s="2">
        <v>48609.41</v>
      </c>
      <c r="F280" s="2">
        <v>9324</v>
      </c>
      <c r="G280" s="2">
        <v>0.21299999999999999</v>
      </c>
      <c r="H280" s="2">
        <v>18</v>
      </c>
      <c r="I280" s="2">
        <v>86.5</v>
      </c>
      <c r="J280" s="2">
        <v>1.44</v>
      </c>
      <c r="K280" s="2">
        <v>0</v>
      </c>
      <c r="L280" s="2">
        <v>3.9</v>
      </c>
      <c r="M280" s="2">
        <v>756619.77</v>
      </c>
      <c r="N280" s="2">
        <v>112057.69</v>
      </c>
    </row>
    <row r="281" spans="1:14">
      <c r="A281" s="2" t="s">
        <v>91</v>
      </c>
      <c r="B281" s="3">
        <v>45748</v>
      </c>
      <c r="C281" s="2" t="s">
        <v>24</v>
      </c>
      <c r="D281" s="2" t="s">
        <v>16</v>
      </c>
      <c r="E281" s="2">
        <v>70284.06</v>
      </c>
      <c r="F281" s="2">
        <v>9109</v>
      </c>
      <c r="G281" s="2">
        <v>4.0000000000000001E-3</v>
      </c>
      <c r="H281" s="2">
        <v>23</v>
      </c>
      <c r="I281" s="2">
        <v>87</v>
      </c>
      <c r="J281" s="2">
        <v>3.65</v>
      </c>
      <c r="K281" s="2">
        <v>0</v>
      </c>
      <c r="L281" s="2">
        <v>3.7</v>
      </c>
      <c r="M281" s="2">
        <v>761122.42</v>
      </c>
      <c r="N281" s="2">
        <v>149802.04</v>
      </c>
    </row>
    <row r="282" spans="1:14">
      <c r="A282" s="2" t="s">
        <v>92</v>
      </c>
      <c r="B282" s="3">
        <v>45658</v>
      </c>
      <c r="C282" s="2" t="s">
        <v>24</v>
      </c>
      <c r="D282" s="2" t="s">
        <v>18</v>
      </c>
      <c r="E282" s="2">
        <v>45940.39</v>
      </c>
      <c r="F282" s="2">
        <v>4022</v>
      </c>
      <c r="G282" s="2">
        <v>6.9000000000000006E-2</v>
      </c>
      <c r="H282" s="2">
        <v>10</v>
      </c>
      <c r="I282" s="2">
        <v>83</v>
      </c>
      <c r="J282" s="2">
        <v>1.23</v>
      </c>
      <c r="K282" s="2">
        <v>1</v>
      </c>
      <c r="L282" s="2">
        <v>3.8</v>
      </c>
      <c r="M282" s="2">
        <v>524899.56999999995</v>
      </c>
      <c r="N282" s="2">
        <v>63619.98</v>
      </c>
    </row>
    <row r="283" spans="1:14">
      <c r="A283" s="2" t="s">
        <v>92</v>
      </c>
      <c r="B283" s="3">
        <v>45689</v>
      </c>
      <c r="C283" s="2" t="s">
        <v>24</v>
      </c>
      <c r="D283" s="2" t="s">
        <v>18</v>
      </c>
      <c r="E283" s="2">
        <v>34771.26</v>
      </c>
      <c r="F283" s="2">
        <v>4355</v>
      </c>
      <c r="G283" s="2">
        <v>5.0999999999999997E-2</v>
      </c>
      <c r="H283" s="2">
        <v>15</v>
      </c>
      <c r="I283" s="2">
        <v>87.9</v>
      </c>
      <c r="J283" s="2">
        <v>3.09</v>
      </c>
      <c r="K283" s="2">
        <v>0</v>
      </c>
      <c r="L283" s="2">
        <v>4</v>
      </c>
      <c r="M283" s="2">
        <v>555557.77</v>
      </c>
      <c r="N283" s="2">
        <v>86475.51</v>
      </c>
    </row>
    <row r="284" spans="1:14">
      <c r="A284" s="2" t="s">
        <v>92</v>
      </c>
      <c r="B284" s="3">
        <v>45717</v>
      </c>
      <c r="C284" s="2" t="s">
        <v>24</v>
      </c>
      <c r="D284" s="2" t="s">
        <v>18</v>
      </c>
      <c r="E284" s="2">
        <v>66104.19</v>
      </c>
      <c r="F284" s="2">
        <v>5745</v>
      </c>
      <c r="G284" s="2">
        <v>7.0000000000000007E-2</v>
      </c>
      <c r="H284" s="2">
        <v>17</v>
      </c>
      <c r="I284" s="2">
        <v>95.8</v>
      </c>
      <c r="J284" s="2">
        <v>3.15</v>
      </c>
      <c r="K284" s="2">
        <v>0</v>
      </c>
      <c r="L284" s="2">
        <v>4</v>
      </c>
      <c r="M284" s="2">
        <v>714083.68</v>
      </c>
      <c r="N284" s="2">
        <v>127231.74</v>
      </c>
    </row>
    <row r="285" spans="1:14">
      <c r="A285" s="2" t="s">
        <v>92</v>
      </c>
      <c r="B285" s="3">
        <v>45748</v>
      </c>
      <c r="C285" s="2" t="s">
        <v>24</v>
      </c>
      <c r="D285" s="2" t="s">
        <v>18</v>
      </c>
      <c r="E285" s="2">
        <v>18599.21</v>
      </c>
      <c r="F285" s="2">
        <v>3027</v>
      </c>
      <c r="G285" s="2">
        <v>0.122</v>
      </c>
      <c r="H285" s="2">
        <v>11</v>
      </c>
      <c r="I285" s="2">
        <v>80.900000000000006</v>
      </c>
      <c r="J285" s="2">
        <v>6.44</v>
      </c>
      <c r="K285" s="2">
        <v>0</v>
      </c>
      <c r="L285" s="2">
        <v>4.2</v>
      </c>
      <c r="M285" s="2">
        <v>497439.82</v>
      </c>
      <c r="N285" s="2">
        <v>93372.75</v>
      </c>
    </row>
    <row r="286" spans="1:14">
      <c r="A286" s="2" t="s">
        <v>93</v>
      </c>
      <c r="B286" s="3">
        <v>45658</v>
      </c>
      <c r="C286" s="2" t="s">
        <v>27</v>
      </c>
      <c r="D286" s="2" t="s">
        <v>16</v>
      </c>
      <c r="E286" s="2">
        <v>60183.06</v>
      </c>
      <c r="F286" s="2">
        <v>5562</v>
      </c>
      <c r="G286" s="2">
        <v>8.9999999999999993E-3</v>
      </c>
      <c r="H286" s="2">
        <v>13</v>
      </c>
      <c r="I286" s="2">
        <v>86.3</v>
      </c>
      <c r="J286" s="2">
        <v>0.2</v>
      </c>
      <c r="K286" s="2">
        <v>1</v>
      </c>
      <c r="L286" s="2">
        <v>4.5</v>
      </c>
      <c r="M286" s="2">
        <v>636775.66</v>
      </c>
      <c r="N286" s="2">
        <v>122636.86</v>
      </c>
    </row>
    <row r="287" spans="1:14">
      <c r="A287" s="2" t="s">
        <v>93</v>
      </c>
      <c r="B287" s="3">
        <v>45689</v>
      </c>
      <c r="C287" s="2" t="s">
        <v>27</v>
      </c>
      <c r="D287" s="2" t="s">
        <v>16</v>
      </c>
      <c r="E287" s="2">
        <v>74539.14</v>
      </c>
      <c r="F287" s="2">
        <v>4487</v>
      </c>
      <c r="G287" s="2">
        <v>0.14000000000000001</v>
      </c>
      <c r="H287" s="2">
        <v>10</v>
      </c>
      <c r="I287" s="2">
        <v>90.4</v>
      </c>
      <c r="J287" s="2">
        <v>0.59</v>
      </c>
      <c r="K287" s="2">
        <v>0</v>
      </c>
      <c r="L287" s="2">
        <v>4.5</v>
      </c>
      <c r="M287" s="2">
        <v>633009.53</v>
      </c>
      <c r="N287" s="2">
        <v>123782.67</v>
      </c>
    </row>
    <row r="288" spans="1:14">
      <c r="A288" s="2" t="s">
        <v>93</v>
      </c>
      <c r="B288" s="3">
        <v>45717</v>
      </c>
      <c r="C288" s="2" t="s">
        <v>27</v>
      </c>
      <c r="D288" s="2" t="s">
        <v>16</v>
      </c>
      <c r="E288" s="2">
        <v>55371.97</v>
      </c>
      <c r="F288" s="2">
        <v>4162</v>
      </c>
      <c r="G288" s="2">
        <v>0.183</v>
      </c>
      <c r="H288" s="2">
        <v>11</v>
      </c>
      <c r="I288" s="2">
        <v>92</v>
      </c>
      <c r="J288" s="2">
        <v>0.2</v>
      </c>
      <c r="K288" s="2">
        <v>1</v>
      </c>
      <c r="L288" s="2">
        <v>4.2</v>
      </c>
      <c r="M288" s="2">
        <v>609949</v>
      </c>
      <c r="N288" s="2">
        <v>126789.25</v>
      </c>
    </row>
    <row r="289" spans="1:14">
      <c r="A289" s="2" t="s">
        <v>93</v>
      </c>
      <c r="B289" s="3">
        <v>45748</v>
      </c>
      <c r="C289" s="2" t="s">
        <v>27</v>
      </c>
      <c r="D289" s="2" t="s">
        <v>16</v>
      </c>
      <c r="E289" s="2">
        <v>40928.69</v>
      </c>
      <c r="F289" s="2">
        <v>4094</v>
      </c>
      <c r="G289" s="2">
        <v>0.17399999999999999</v>
      </c>
      <c r="H289" s="2">
        <v>13</v>
      </c>
      <c r="I289" s="2">
        <v>82.4</v>
      </c>
      <c r="J289" s="2">
        <v>1.36</v>
      </c>
      <c r="K289" s="2">
        <v>0</v>
      </c>
      <c r="L289" s="2">
        <v>4.8</v>
      </c>
      <c r="M289" s="2">
        <v>548103.69999999995</v>
      </c>
      <c r="N289" s="2">
        <v>99905.52</v>
      </c>
    </row>
    <row r="290" spans="1:14">
      <c r="A290" s="2" t="s">
        <v>94</v>
      </c>
      <c r="B290" s="3">
        <v>45658</v>
      </c>
      <c r="C290" s="2" t="s">
        <v>15</v>
      </c>
      <c r="D290" s="2" t="s">
        <v>16</v>
      </c>
      <c r="E290" s="2">
        <v>70012.41</v>
      </c>
      <c r="F290" s="2">
        <v>8484</v>
      </c>
      <c r="G290" s="2">
        <v>0.27300000000000002</v>
      </c>
      <c r="H290" s="2">
        <v>23</v>
      </c>
      <c r="I290" s="2">
        <v>72.900000000000006</v>
      </c>
      <c r="J290" s="2">
        <v>3.34</v>
      </c>
      <c r="K290" s="2">
        <v>0</v>
      </c>
      <c r="L290" s="2">
        <v>3.7</v>
      </c>
      <c r="M290" s="2">
        <v>729424.42</v>
      </c>
      <c r="N290" s="2">
        <v>75592.28</v>
      </c>
    </row>
    <row r="291" spans="1:14">
      <c r="A291" s="2" t="s">
        <v>94</v>
      </c>
      <c r="B291" s="3">
        <v>45689</v>
      </c>
      <c r="C291" s="2" t="s">
        <v>15</v>
      </c>
      <c r="D291" s="2" t="s">
        <v>16</v>
      </c>
      <c r="E291" s="2">
        <v>68909.259999999995</v>
      </c>
      <c r="F291" s="2">
        <v>7794</v>
      </c>
      <c r="G291" s="2">
        <v>0.28399999999999997</v>
      </c>
      <c r="H291" s="2">
        <v>22</v>
      </c>
      <c r="I291" s="2">
        <v>89</v>
      </c>
      <c r="J291" s="2">
        <v>0.33</v>
      </c>
      <c r="K291" s="2">
        <v>0</v>
      </c>
      <c r="L291" s="2">
        <v>4</v>
      </c>
      <c r="M291" s="2">
        <v>696261.49</v>
      </c>
      <c r="N291" s="2">
        <v>72455.350000000006</v>
      </c>
    </row>
    <row r="292" spans="1:14">
      <c r="A292" s="2" t="s">
        <v>94</v>
      </c>
      <c r="B292" s="3">
        <v>45717</v>
      </c>
      <c r="C292" s="2" t="s">
        <v>15</v>
      </c>
      <c r="D292" s="2" t="s">
        <v>16</v>
      </c>
      <c r="E292" s="2">
        <v>56737.3</v>
      </c>
      <c r="F292" s="2">
        <v>8300</v>
      </c>
      <c r="G292" s="2">
        <v>3.2000000000000001E-2</v>
      </c>
      <c r="H292" s="2">
        <v>21</v>
      </c>
      <c r="I292" s="2">
        <v>83.2</v>
      </c>
      <c r="J292" s="2">
        <v>3.44</v>
      </c>
      <c r="K292" s="2">
        <v>1</v>
      </c>
      <c r="L292" s="2">
        <v>4.3</v>
      </c>
      <c r="M292" s="2">
        <v>813316.71</v>
      </c>
      <c r="N292" s="2">
        <v>110077.42</v>
      </c>
    </row>
    <row r="293" spans="1:14">
      <c r="A293" s="2" t="s">
        <v>94</v>
      </c>
      <c r="B293" s="3">
        <v>45748</v>
      </c>
      <c r="C293" s="2" t="s">
        <v>15</v>
      </c>
      <c r="D293" s="2" t="s">
        <v>16</v>
      </c>
      <c r="E293" s="2">
        <v>54080.91</v>
      </c>
      <c r="F293" s="2">
        <v>7083</v>
      </c>
      <c r="G293" s="2">
        <v>0</v>
      </c>
      <c r="H293" s="2">
        <v>15</v>
      </c>
      <c r="I293" s="2">
        <v>97</v>
      </c>
      <c r="J293" s="2">
        <v>5.33</v>
      </c>
      <c r="K293" s="2">
        <v>0</v>
      </c>
      <c r="L293" s="2">
        <v>4.0999999999999996</v>
      </c>
      <c r="M293" s="2">
        <v>702068.92</v>
      </c>
      <c r="N293" s="2">
        <v>111266.63</v>
      </c>
    </row>
    <row r="294" spans="1:14">
      <c r="A294" s="2" t="s">
        <v>95</v>
      </c>
      <c r="B294" s="3">
        <v>45658</v>
      </c>
      <c r="C294" s="2" t="s">
        <v>27</v>
      </c>
      <c r="D294" s="2" t="s">
        <v>18</v>
      </c>
      <c r="E294" s="2">
        <v>51996.32</v>
      </c>
      <c r="F294" s="2">
        <v>3834</v>
      </c>
      <c r="G294" s="2">
        <v>9.6000000000000002E-2</v>
      </c>
      <c r="H294" s="2">
        <v>8</v>
      </c>
      <c r="I294" s="2">
        <v>86.7</v>
      </c>
      <c r="J294" s="2">
        <v>6.04</v>
      </c>
      <c r="K294" s="2">
        <v>0</v>
      </c>
      <c r="L294" s="2">
        <v>4.5</v>
      </c>
      <c r="M294" s="2">
        <v>546223.69999999995</v>
      </c>
      <c r="N294" s="2">
        <v>100769.17</v>
      </c>
    </row>
    <row r="295" spans="1:14">
      <c r="A295" s="2" t="s">
        <v>95</v>
      </c>
      <c r="B295" s="3">
        <v>45689</v>
      </c>
      <c r="C295" s="2" t="s">
        <v>27</v>
      </c>
      <c r="D295" s="2" t="s">
        <v>18</v>
      </c>
      <c r="E295" s="2">
        <v>40102.879999999997</v>
      </c>
      <c r="F295" s="2">
        <v>2358</v>
      </c>
      <c r="G295" s="2">
        <v>0.11899999999999999</v>
      </c>
      <c r="H295" s="2">
        <v>9</v>
      </c>
      <c r="I295" s="2">
        <v>88.7</v>
      </c>
      <c r="J295" s="2">
        <v>1.6</v>
      </c>
      <c r="K295" s="2">
        <v>0</v>
      </c>
      <c r="L295" s="2">
        <v>4.2</v>
      </c>
      <c r="M295" s="2">
        <v>533121.26</v>
      </c>
      <c r="N295" s="2">
        <v>55063.39</v>
      </c>
    </row>
    <row r="296" spans="1:14">
      <c r="A296" s="2" t="s">
        <v>95</v>
      </c>
      <c r="B296" s="3">
        <v>45717</v>
      </c>
      <c r="C296" s="2" t="s">
        <v>27</v>
      </c>
      <c r="D296" s="2" t="s">
        <v>18</v>
      </c>
      <c r="E296" s="2">
        <v>59825.51</v>
      </c>
      <c r="F296" s="2">
        <v>1231</v>
      </c>
      <c r="G296" s="2">
        <v>0.214</v>
      </c>
      <c r="H296" s="2">
        <v>10</v>
      </c>
      <c r="I296" s="2">
        <v>84.8</v>
      </c>
      <c r="J296" s="2">
        <v>8.9600000000000009</v>
      </c>
      <c r="K296" s="2">
        <v>0</v>
      </c>
      <c r="L296" s="2">
        <v>4.7</v>
      </c>
      <c r="M296" s="2">
        <v>498970.32</v>
      </c>
      <c r="N296" s="2">
        <v>69656.7</v>
      </c>
    </row>
    <row r="297" spans="1:14">
      <c r="A297" s="2" t="s">
        <v>95</v>
      </c>
      <c r="B297" s="3">
        <v>45748</v>
      </c>
      <c r="C297" s="2" t="s">
        <v>27</v>
      </c>
      <c r="D297" s="2" t="s">
        <v>18</v>
      </c>
      <c r="E297" s="2">
        <v>27398.28</v>
      </c>
      <c r="F297" s="2">
        <v>1723</v>
      </c>
      <c r="G297" s="2">
        <v>0.17100000000000001</v>
      </c>
      <c r="H297" s="2">
        <v>9</v>
      </c>
      <c r="I297" s="2">
        <v>81</v>
      </c>
      <c r="J297" s="2">
        <v>0.74</v>
      </c>
      <c r="K297" s="2">
        <v>0</v>
      </c>
      <c r="L297" s="2">
        <v>4.5999999999999996</v>
      </c>
      <c r="M297" s="2">
        <v>487738.26</v>
      </c>
      <c r="N297" s="2">
        <v>96435.6</v>
      </c>
    </row>
    <row r="298" spans="1:14">
      <c r="A298" s="2" t="s">
        <v>96</v>
      </c>
      <c r="B298" s="3">
        <v>45658</v>
      </c>
      <c r="C298" s="2" t="s">
        <v>27</v>
      </c>
      <c r="D298" s="2" t="s">
        <v>18</v>
      </c>
      <c r="E298" s="2">
        <v>55599.56</v>
      </c>
      <c r="F298" s="2">
        <v>5896</v>
      </c>
      <c r="G298" s="2">
        <v>3.5999999999999997E-2</v>
      </c>
      <c r="H298" s="2">
        <v>12</v>
      </c>
      <c r="I298" s="2">
        <v>93.1</v>
      </c>
      <c r="J298" s="2">
        <v>6.13</v>
      </c>
      <c r="K298" s="2">
        <v>0</v>
      </c>
      <c r="L298" s="2">
        <v>3.3</v>
      </c>
      <c r="M298" s="2">
        <v>668459.37</v>
      </c>
      <c r="N298" s="2">
        <v>126435.42</v>
      </c>
    </row>
    <row r="299" spans="1:14">
      <c r="A299" s="2" t="s">
        <v>96</v>
      </c>
      <c r="B299" s="3">
        <v>45689</v>
      </c>
      <c r="C299" s="2" t="s">
        <v>27</v>
      </c>
      <c r="D299" s="2" t="s">
        <v>18</v>
      </c>
      <c r="E299" s="2">
        <v>55477.61</v>
      </c>
      <c r="F299" s="2">
        <v>5903</v>
      </c>
      <c r="G299" s="2">
        <v>0.10199999999999999</v>
      </c>
      <c r="H299" s="2">
        <v>14</v>
      </c>
      <c r="I299" s="2">
        <v>96.2</v>
      </c>
      <c r="J299" s="2">
        <v>1.41</v>
      </c>
      <c r="K299" s="2">
        <v>0</v>
      </c>
      <c r="L299" s="2">
        <v>3.3</v>
      </c>
      <c r="M299" s="2">
        <v>763162.45</v>
      </c>
      <c r="N299" s="2">
        <v>162524.04999999999</v>
      </c>
    </row>
    <row r="300" spans="1:14">
      <c r="A300" s="2" t="s">
        <v>96</v>
      </c>
      <c r="B300" s="3">
        <v>45717</v>
      </c>
      <c r="C300" s="2" t="s">
        <v>27</v>
      </c>
      <c r="D300" s="2" t="s">
        <v>18</v>
      </c>
      <c r="E300" s="2">
        <v>46174.7</v>
      </c>
      <c r="F300" s="2">
        <v>4898</v>
      </c>
      <c r="G300" s="2">
        <v>0.114</v>
      </c>
      <c r="H300" s="2">
        <v>11</v>
      </c>
      <c r="I300" s="2">
        <v>91.7</v>
      </c>
      <c r="J300" s="2">
        <v>3.75</v>
      </c>
      <c r="K300" s="2">
        <v>0</v>
      </c>
      <c r="L300" s="2">
        <v>3.1</v>
      </c>
      <c r="M300" s="2">
        <v>599017.32999999996</v>
      </c>
      <c r="N300" s="2">
        <v>134009.92000000001</v>
      </c>
    </row>
    <row r="301" spans="1:14">
      <c r="A301" s="2" t="s">
        <v>96</v>
      </c>
      <c r="B301" s="3">
        <v>45748</v>
      </c>
      <c r="C301" s="2" t="s">
        <v>27</v>
      </c>
      <c r="D301" s="2" t="s">
        <v>18</v>
      </c>
      <c r="E301" s="2">
        <v>24362.98</v>
      </c>
      <c r="F301" s="2">
        <v>1462</v>
      </c>
      <c r="G301" s="2">
        <v>0.11700000000000001</v>
      </c>
      <c r="H301" s="2">
        <v>6</v>
      </c>
      <c r="I301" s="2">
        <v>89.3</v>
      </c>
      <c r="J301" s="2">
        <v>15.06</v>
      </c>
      <c r="K301" s="2">
        <v>0</v>
      </c>
      <c r="L301" s="2">
        <v>3.2</v>
      </c>
      <c r="M301" s="2">
        <v>401582.58</v>
      </c>
      <c r="N301" s="2">
        <v>68454.929999999993</v>
      </c>
    </row>
    <row r="302" spans="1:14">
      <c r="A302" s="2" t="s">
        <v>97</v>
      </c>
      <c r="B302" s="3">
        <v>45658</v>
      </c>
      <c r="C302" s="2" t="s">
        <v>20</v>
      </c>
      <c r="D302" s="2" t="s">
        <v>28</v>
      </c>
      <c r="E302" s="2">
        <v>40647.67</v>
      </c>
      <c r="F302" s="2">
        <v>8252</v>
      </c>
      <c r="G302" s="2">
        <v>0.14099999999999999</v>
      </c>
      <c r="H302" s="2">
        <v>22</v>
      </c>
      <c r="I302" s="2">
        <v>88.2</v>
      </c>
      <c r="J302" s="2">
        <v>5.07</v>
      </c>
      <c r="K302" s="2">
        <v>1</v>
      </c>
      <c r="L302" s="2">
        <v>4.0999999999999996</v>
      </c>
      <c r="M302" s="2">
        <v>703812.99</v>
      </c>
      <c r="N302" s="2">
        <v>133577.98000000001</v>
      </c>
    </row>
    <row r="303" spans="1:14">
      <c r="A303" s="2" t="s">
        <v>97</v>
      </c>
      <c r="B303" s="3">
        <v>45689</v>
      </c>
      <c r="C303" s="2" t="s">
        <v>20</v>
      </c>
      <c r="D303" s="2" t="s">
        <v>28</v>
      </c>
      <c r="E303" s="2">
        <v>63986.98</v>
      </c>
      <c r="F303" s="2">
        <v>7989</v>
      </c>
      <c r="G303" s="2">
        <v>7.3999999999999996E-2</v>
      </c>
      <c r="H303" s="2">
        <v>20</v>
      </c>
      <c r="I303" s="2">
        <v>83.3</v>
      </c>
      <c r="J303" s="2">
        <v>3.6</v>
      </c>
      <c r="K303" s="2">
        <v>0</v>
      </c>
      <c r="L303" s="2">
        <v>3.7</v>
      </c>
      <c r="M303" s="2">
        <v>724346.73</v>
      </c>
      <c r="N303" s="2">
        <v>155013.91</v>
      </c>
    </row>
    <row r="304" spans="1:14">
      <c r="A304" s="2" t="s">
        <v>97</v>
      </c>
      <c r="B304" s="3">
        <v>45717</v>
      </c>
      <c r="C304" s="2" t="s">
        <v>20</v>
      </c>
      <c r="D304" s="2" t="s">
        <v>28</v>
      </c>
      <c r="E304" s="2">
        <v>52843.75</v>
      </c>
      <c r="F304" s="2">
        <v>8268</v>
      </c>
      <c r="G304" s="2">
        <v>0.13800000000000001</v>
      </c>
      <c r="H304" s="2">
        <v>19</v>
      </c>
      <c r="I304" s="2">
        <v>87.3</v>
      </c>
      <c r="J304" s="2">
        <v>4.3899999999999997</v>
      </c>
      <c r="K304" s="2">
        <v>1</v>
      </c>
      <c r="L304" s="2">
        <v>4.7</v>
      </c>
      <c r="M304" s="2">
        <v>730890.01</v>
      </c>
      <c r="N304" s="2">
        <v>105502.56</v>
      </c>
    </row>
    <row r="305" spans="1:14">
      <c r="A305" s="2" t="s">
        <v>97</v>
      </c>
      <c r="B305" s="3">
        <v>45748</v>
      </c>
      <c r="C305" s="2" t="s">
        <v>20</v>
      </c>
      <c r="D305" s="2" t="s">
        <v>28</v>
      </c>
      <c r="E305" s="2">
        <v>31997.25</v>
      </c>
      <c r="F305" s="2">
        <v>8183</v>
      </c>
      <c r="G305" s="2">
        <v>0.19800000000000001</v>
      </c>
      <c r="H305" s="2">
        <v>18</v>
      </c>
      <c r="I305" s="2">
        <v>93</v>
      </c>
      <c r="J305" s="2">
        <v>2.79</v>
      </c>
      <c r="K305" s="2">
        <v>0</v>
      </c>
      <c r="L305" s="2">
        <v>4.2</v>
      </c>
      <c r="M305" s="2">
        <v>780580.95</v>
      </c>
      <c r="N305" s="2">
        <v>138144.46</v>
      </c>
    </row>
    <row r="306" spans="1:14">
      <c r="A306" s="2" t="s">
        <v>98</v>
      </c>
      <c r="B306" s="3">
        <v>45658</v>
      </c>
      <c r="C306" s="2" t="s">
        <v>24</v>
      </c>
      <c r="D306" s="2" t="s">
        <v>16</v>
      </c>
      <c r="E306" s="2">
        <v>54948.02</v>
      </c>
      <c r="F306" s="2">
        <v>6534</v>
      </c>
      <c r="G306" s="2">
        <v>0.183</v>
      </c>
      <c r="H306" s="2">
        <v>14</v>
      </c>
      <c r="I306" s="2">
        <v>94.5</v>
      </c>
      <c r="J306" s="2">
        <v>1.56</v>
      </c>
      <c r="K306" s="2">
        <v>0</v>
      </c>
      <c r="L306" s="2">
        <v>4</v>
      </c>
      <c r="M306" s="2">
        <v>727957.48</v>
      </c>
      <c r="N306" s="2">
        <v>74805.23</v>
      </c>
    </row>
    <row r="307" spans="1:14">
      <c r="A307" s="2" t="s">
        <v>98</v>
      </c>
      <c r="B307" s="3">
        <v>45689</v>
      </c>
      <c r="C307" s="2" t="s">
        <v>24</v>
      </c>
      <c r="D307" s="2" t="s">
        <v>16</v>
      </c>
      <c r="E307" s="2">
        <v>46146.239999999998</v>
      </c>
      <c r="F307" s="2">
        <v>5804</v>
      </c>
      <c r="G307" s="2">
        <v>4.7E-2</v>
      </c>
      <c r="H307" s="2">
        <v>16</v>
      </c>
      <c r="I307" s="2">
        <v>86.9</v>
      </c>
      <c r="J307" s="2">
        <v>15.82</v>
      </c>
      <c r="K307" s="2">
        <v>0</v>
      </c>
      <c r="L307" s="2">
        <v>3.8</v>
      </c>
      <c r="M307" s="2">
        <v>538376</v>
      </c>
      <c r="N307" s="2">
        <v>87605.62</v>
      </c>
    </row>
    <row r="308" spans="1:14">
      <c r="A308" s="2" t="s">
        <v>98</v>
      </c>
      <c r="B308" s="3">
        <v>45717</v>
      </c>
      <c r="C308" s="2" t="s">
        <v>24</v>
      </c>
      <c r="D308" s="2" t="s">
        <v>16</v>
      </c>
      <c r="E308" s="2">
        <v>22387.26</v>
      </c>
      <c r="F308" s="2">
        <v>6301</v>
      </c>
      <c r="G308" s="2">
        <v>0.14599999999999999</v>
      </c>
      <c r="H308" s="2">
        <v>14</v>
      </c>
      <c r="I308" s="2">
        <v>85.9</v>
      </c>
      <c r="J308" s="2">
        <v>1.17</v>
      </c>
      <c r="K308" s="2">
        <v>1</v>
      </c>
      <c r="L308" s="2">
        <v>3.7</v>
      </c>
      <c r="M308" s="2">
        <v>665342.49</v>
      </c>
      <c r="N308" s="2">
        <v>93441.81</v>
      </c>
    </row>
    <row r="309" spans="1:14">
      <c r="A309" s="2" t="s">
        <v>98</v>
      </c>
      <c r="B309" s="3">
        <v>45748</v>
      </c>
      <c r="C309" s="2" t="s">
        <v>24</v>
      </c>
      <c r="D309" s="2" t="s">
        <v>16</v>
      </c>
      <c r="E309" s="2">
        <v>60684.05</v>
      </c>
      <c r="F309" s="2">
        <v>6399</v>
      </c>
      <c r="G309" s="2">
        <v>7.4999999999999997E-2</v>
      </c>
      <c r="H309" s="2">
        <v>16</v>
      </c>
      <c r="I309" s="2">
        <v>99</v>
      </c>
      <c r="J309" s="2">
        <v>3.82</v>
      </c>
      <c r="K309" s="2">
        <v>0</v>
      </c>
      <c r="L309" s="2">
        <v>3.5</v>
      </c>
      <c r="M309" s="2">
        <v>651164.18000000005</v>
      </c>
      <c r="N309" s="2">
        <v>109466.5</v>
      </c>
    </row>
    <row r="310" spans="1:14">
      <c r="A310" s="2" t="s">
        <v>99</v>
      </c>
      <c r="B310" s="3">
        <v>45658</v>
      </c>
      <c r="C310" s="2" t="s">
        <v>24</v>
      </c>
      <c r="D310" s="2" t="s">
        <v>18</v>
      </c>
      <c r="E310" s="2">
        <v>48465.599999999999</v>
      </c>
      <c r="F310" s="2">
        <v>5759</v>
      </c>
      <c r="G310" s="2">
        <v>0.154</v>
      </c>
      <c r="H310" s="2">
        <v>13</v>
      </c>
      <c r="I310" s="2">
        <v>87.5</v>
      </c>
      <c r="J310" s="2">
        <v>4.1399999999999997</v>
      </c>
      <c r="K310" s="2">
        <v>0</v>
      </c>
      <c r="L310" s="2">
        <v>4</v>
      </c>
      <c r="M310" s="2">
        <v>628538.30000000005</v>
      </c>
      <c r="N310" s="2">
        <v>112509.15</v>
      </c>
    </row>
    <row r="311" spans="1:14">
      <c r="A311" s="2" t="s">
        <v>99</v>
      </c>
      <c r="B311" s="3">
        <v>45689</v>
      </c>
      <c r="C311" s="2" t="s">
        <v>24</v>
      </c>
      <c r="D311" s="2" t="s">
        <v>18</v>
      </c>
      <c r="E311" s="2">
        <v>23702.38</v>
      </c>
      <c r="F311" s="2">
        <v>5285</v>
      </c>
      <c r="G311" s="2">
        <v>0.16700000000000001</v>
      </c>
      <c r="H311" s="2">
        <v>14</v>
      </c>
      <c r="I311" s="2">
        <v>79.7</v>
      </c>
      <c r="J311" s="2">
        <v>1.1000000000000001</v>
      </c>
      <c r="K311" s="2">
        <v>0</v>
      </c>
      <c r="L311" s="2">
        <v>4.3</v>
      </c>
      <c r="M311" s="2">
        <v>536524.84</v>
      </c>
      <c r="N311" s="2">
        <v>92752.94</v>
      </c>
    </row>
    <row r="312" spans="1:14">
      <c r="A312" s="2" t="s">
        <v>99</v>
      </c>
      <c r="B312" s="3">
        <v>45717</v>
      </c>
      <c r="C312" s="2" t="s">
        <v>24</v>
      </c>
      <c r="D312" s="2" t="s">
        <v>18</v>
      </c>
      <c r="E312" s="2">
        <v>54322.94</v>
      </c>
      <c r="F312" s="2">
        <v>5434</v>
      </c>
      <c r="G312" s="2">
        <v>0.2</v>
      </c>
      <c r="H312" s="2">
        <v>13</v>
      </c>
      <c r="I312" s="2">
        <v>85.7</v>
      </c>
      <c r="J312" s="2">
        <v>10.6</v>
      </c>
      <c r="K312" s="2">
        <v>0</v>
      </c>
      <c r="L312" s="2">
        <v>4.2</v>
      </c>
      <c r="M312" s="2">
        <v>621677.30000000005</v>
      </c>
      <c r="N312" s="2">
        <v>105192.52</v>
      </c>
    </row>
    <row r="313" spans="1:14">
      <c r="A313" s="2" t="s">
        <v>99</v>
      </c>
      <c r="B313" s="3">
        <v>45748</v>
      </c>
      <c r="C313" s="2" t="s">
        <v>24</v>
      </c>
      <c r="D313" s="2" t="s">
        <v>18</v>
      </c>
      <c r="E313" s="2">
        <v>86026.58</v>
      </c>
      <c r="F313" s="2">
        <v>7479</v>
      </c>
      <c r="G313" s="2">
        <v>0.14199999999999999</v>
      </c>
      <c r="H313" s="2">
        <v>20</v>
      </c>
      <c r="I313" s="2">
        <v>89</v>
      </c>
      <c r="J313" s="2">
        <v>0.9</v>
      </c>
      <c r="K313" s="2">
        <v>0</v>
      </c>
      <c r="L313" s="2"/>
      <c r="M313" s="2">
        <v>771129.07</v>
      </c>
      <c r="N313" s="2">
        <v>116851.13</v>
      </c>
    </row>
    <row r="314" spans="1:14">
      <c r="A314" s="2" t="s">
        <v>100</v>
      </c>
      <c r="B314" s="3">
        <v>45658</v>
      </c>
      <c r="C314" s="2" t="s">
        <v>20</v>
      </c>
      <c r="D314" s="2" t="s">
        <v>16</v>
      </c>
      <c r="E314" s="2">
        <v>78967.520000000004</v>
      </c>
      <c r="F314" s="2">
        <v>6164</v>
      </c>
      <c r="G314" s="2">
        <v>2.1000000000000001E-2</v>
      </c>
      <c r="H314" s="2">
        <v>16</v>
      </c>
      <c r="I314" s="2">
        <v>85.5</v>
      </c>
      <c r="J314" s="2">
        <v>0.2</v>
      </c>
      <c r="K314" s="2">
        <v>0</v>
      </c>
      <c r="L314" s="2">
        <v>3.4</v>
      </c>
      <c r="M314" s="2">
        <v>702052.47</v>
      </c>
      <c r="N314" s="2">
        <v>121732.51</v>
      </c>
    </row>
    <row r="315" spans="1:14">
      <c r="A315" s="2" t="s">
        <v>100</v>
      </c>
      <c r="B315" s="3">
        <v>45689</v>
      </c>
      <c r="C315" s="2" t="s">
        <v>20</v>
      </c>
      <c r="D315" s="2" t="s">
        <v>16</v>
      </c>
      <c r="E315" s="2">
        <v>46767.99</v>
      </c>
      <c r="F315" s="2">
        <v>7973</v>
      </c>
      <c r="G315" s="2">
        <v>0.183</v>
      </c>
      <c r="H315" s="2">
        <v>18</v>
      </c>
      <c r="I315" s="2">
        <v>94.8</v>
      </c>
      <c r="J315" s="2">
        <v>4.67</v>
      </c>
      <c r="K315" s="2">
        <v>0</v>
      </c>
      <c r="L315" s="2"/>
      <c r="M315" s="2">
        <v>688368.46</v>
      </c>
      <c r="N315" s="2">
        <v>93588.42</v>
      </c>
    </row>
    <row r="316" spans="1:14">
      <c r="A316" s="2" t="s">
        <v>100</v>
      </c>
      <c r="B316" s="3">
        <v>45717</v>
      </c>
      <c r="C316" s="2" t="s">
        <v>20</v>
      </c>
      <c r="D316" s="2" t="s">
        <v>16</v>
      </c>
      <c r="E316" s="2">
        <v>62507.16</v>
      </c>
      <c r="F316" s="2">
        <v>6000</v>
      </c>
      <c r="G316" s="2">
        <v>9.0999999999999998E-2</v>
      </c>
      <c r="H316" s="2">
        <v>14</v>
      </c>
      <c r="I316" s="2">
        <v>98.2</v>
      </c>
      <c r="J316" s="2">
        <v>4.38</v>
      </c>
      <c r="K316" s="2">
        <v>1</v>
      </c>
      <c r="L316" s="2">
        <v>3.9</v>
      </c>
      <c r="M316" s="2">
        <v>712375.77</v>
      </c>
      <c r="N316" s="2">
        <v>104171.53</v>
      </c>
    </row>
    <row r="317" spans="1:14">
      <c r="A317" s="2" t="s">
        <v>100</v>
      </c>
      <c r="B317" s="3">
        <v>45748</v>
      </c>
      <c r="C317" s="2" t="s">
        <v>20</v>
      </c>
      <c r="D317" s="2" t="s">
        <v>16</v>
      </c>
      <c r="E317" s="2">
        <v>66456.28</v>
      </c>
      <c r="F317" s="2">
        <v>9967</v>
      </c>
      <c r="G317" s="2">
        <v>0.108</v>
      </c>
      <c r="H317" s="2">
        <v>20</v>
      </c>
      <c r="I317" s="2">
        <v>94.7</v>
      </c>
      <c r="J317" s="2">
        <v>4.4800000000000004</v>
      </c>
      <c r="K317" s="2">
        <v>0</v>
      </c>
      <c r="L317" s="2">
        <v>4.2</v>
      </c>
      <c r="M317" s="2">
        <v>844710.67</v>
      </c>
      <c r="N317" s="2">
        <v>137140.18</v>
      </c>
    </row>
    <row r="318" spans="1:14">
      <c r="A318" s="2" t="s">
        <v>101</v>
      </c>
      <c r="B318" s="3">
        <v>45658</v>
      </c>
      <c r="C318" s="2" t="s">
        <v>15</v>
      </c>
      <c r="D318" s="2" t="s">
        <v>16</v>
      </c>
      <c r="E318" s="2">
        <v>76614.320000000007</v>
      </c>
      <c r="F318" s="2">
        <v>5639</v>
      </c>
      <c r="G318" s="2">
        <v>0.17399999999999999</v>
      </c>
      <c r="H318" s="2">
        <v>15</v>
      </c>
      <c r="I318" s="2">
        <v>92.9</v>
      </c>
      <c r="J318" s="2">
        <v>1.02</v>
      </c>
      <c r="K318" s="2">
        <v>1</v>
      </c>
      <c r="L318" s="2">
        <v>4</v>
      </c>
      <c r="M318" s="2">
        <v>620264.19999999995</v>
      </c>
      <c r="N318" s="2">
        <v>91365.64</v>
      </c>
    </row>
    <row r="319" spans="1:14">
      <c r="A319" s="2" t="s">
        <v>101</v>
      </c>
      <c r="B319" s="3">
        <v>45689</v>
      </c>
      <c r="C319" s="2" t="s">
        <v>15</v>
      </c>
      <c r="D319" s="2" t="s">
        <v>16</v>
      </c>
      <c r="E319" s="2">
        <v>24088.06</v>
      </c>
      <c r="F319" s="2">
        <v>3466</v>
      </c>
      <c r="G319" s="2">
        <v>0</v>
      </c>
      <c r="H319" s="2">
        <v>11</v>
      </c>
      <c r="I319" s="2">
        <v>88</v>
      </c>
      <c r="J319" s="2">
        <v>0.2</v>
      </c>
      <c r="K319" s="2">
        <v>0</v>
      </c>
      <c r="L319" s="2">
        <v>3.8</v>
      </c>
      <c r="M319" s="2">
        <v>536845.42000000004</v>
      </c>
      <c r="N319" s="2">
        <v>107473.75</v>
      </c>
    </row>
    <row r="320" spans="1:14">
      <c r="A320" s="2" t="s">
        <v>101</v>
      </c>
      <c r="B320" s="3">
        <v>45717</v>
      </c>
      <c r="C320" s="2" t="s">
        <v>15</v>
      </c>
      <c r="D320" s="2" t="s">
        <v>16</v>
      </c>
      <c r="E320" s="2">
        <v>81902.58</v>
      </c>
      <c r="F320" s="2">
        <v>7775</v>
      </c>
      <c r="G320" s="2">
        <v>0.215</v>
      </c>
      <c r="H320" s="2">
        <v>20</v>
      </c>
      <c r="I320" s="2">
        <v>85.2</v>
      </c>
      <c r="J320" s="2">
        <v>4.8899999999999997</v>
      </c>
      <c r="K320" s="2">
        <v>1</v>
      </c>
      <c r="L320" s="2">
        <v>4.2</v>
      </c>
      <c r="M320" s="2">
        <v>726776.22</v>
      </c>
      <c r="N320" s="2">
        <v>90804.49</v>
      </c>
    </row>
    <row r="321" spans="1:14">
      <c r="A321" s="2" t="s">
        <v>101</v>
      </c>
      <c r="B321" s="3">
        <v>45748</v>
      </c>
      <c r="C321" s="2" t="s">
        <v>15</v>
      </c>
      <c r="D321" s="2" t="s">
        <v>16</v>
      </c>
      <c r="E321" s="2">
        <v>40553.11</v>
      </c>
      <c r="F321" s="2">
        <v>5317</v>
      </c>
      <c r="G321" s="2">
        <v>0.16500000000000001</v>
      </c>
      <c r="H321" s="2">
        <v>17</v>
      </c>
      <c r="I321" s="2">
        <v>84.3</v>
      </c>
      <c r="J321" s="2">
        <v>11.82</v>
      </c>
      <c r="K321" s="2">
        <v>0</v>
      </c>
      <c r="L321" s="2">
        <v>4.0999999999999996</v>
      </c>
      <c r="M321" s="2">
        <v>559660.84</v>
      </c>
      <c r="N321" s="2">
        <v>71443.61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0869-49F1-4F46-9D06-AC313A4C7A07}">
  <dimension ref="A1:W321"/>
  <sheetViews>
    <sheetView tabSelected="1" topLeftCell="K1" workbookViewId="0">
      <selection sqref="A1:U1"/>
    </sheetView>
  </sheetViews>
  <sheetFormatPr defaultRowHeight="40.5" customHeight="1"/>
  <cols>
    <col min="1" max="16" width="17.453125" customWidth="1"/>
    <col min="17" max="17" width="14.453125" customWidth="1"/>
    <col min="18" max="18" width="12.36328125" customWidth="1"/>
  </cols>
  <sheetData>
    <row r="1" spans="1:23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105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104</v>
      </c>
      <c r="R1" s="1" t="s">
        <v>106</v>
      </c>
      <c r="S1" s="1" t="s">
        <v>107</v>
      </c>
      <c r="T1" s="1" t="s">
        <v>108</v>
      </c>
      <c r="U1" s="1" t="s">
        <v>109</v>
      </c>
      <c r="V1" s="6"/>
      <c r="W1" s="6"/>
    </row>
    <row r="2" spans="1:23" ht="40.5" customHeight="1">
      <c r="A2" s="2" t="s">
        <v>14</v>
      </c>
      <c r="B2" s="3">
        <v>45658</v>
      </c>
      <c r="C2" s="2" t="s">
        <v>15</v>
      </c>
      <c r="D2" s="2" t="s">
        <v>16</v>
      </c>
      <c r="E2" s="2">
        <v>70389.11</v>
      </c>
      <c r="F2" s="2">
        <v>8302</v>
      </c>
      <c r="G2" s="2">
        <v>4.2000000000000003E-2</v>
      </c>
      <c r="H2" s="2">
        <v>75</v>
      </c>
      <c r="I2">
        <f t="shared" ref="I2:I65" si="0">IF(C2="North",1,0)</f>
        <v>0</v>
      </c>
      <c r="J2" s="2">
        <v>17</v>
      </c>
      <c r="K2" s="2">
        <v>75</v>
      </c>
      <c r="L2" s="2">
        <v>5.28</v>
      </c>
      <c r="M2" s="2">
        <v>1</v>
      </c>
      <c r="N2" s="2">
        <v>3.1</v>
      </c>
      <c r="O2" s="2">
        <v>658832.62</v>
      </c>
      <c r="P2" s="2">
        <v>84349.93</v>
      </c>
      <c r="Q2">
        <f>IF(C2="East",1,0)</f>
        <v>1</v>
      </c>
      <c r="R2">
        <f>IF(C2="South",1,0)</f>
        <v>0</v>
      </c>
      <c r="S2">
        <f>IF(D2="Airport",1,0)</f>
        <v>0</v>
      </c>
      <c r="T2">
        <f>IF(D2="High Street",1,0)</f>
        <v>0</v>
      </c>
      <c r="U2">
        <f>IF(D2="Mall",1,0)</f>
        <v>0</v>
      </c>
    </row>
    <row r="3" spans="1:23" ht="40.5" customHeight="1">
      <c r="A3" s="2" t="s">
        <v>14</v>
      </c>
      <c r="B3" s="3">
        <v>45689</v>
      </c>
      <c r="C3" s="2" t="s">
        <v>15</v>
      </c>
      <c r="D3" s="2" t="s">
        <v>16</v>
      </c>
      <c r="E3" s="2">
        <v>43827.89</v>
      </c>
      <c r="F3" s="2">
        <v>8487</v>
      </c>
      <c r="G3" s="2">
        <v>0.16800000000000001</v>
      </c>
      <c r="H3" s="2">
        <v>84.4</v>
      </c>
      <c r="I3">
        <f t="shared" si="0"/>
        <v>0</v>
      </c>
      <c r="J3" s="2">
        <v>23</v>
      </c>
      <c r="K3" s="2">
        <v>84.4</v>
      </c>
      <c r="L3" s="2">
        <v>4.3099999999999996</v>
      </c>
      <c r="M3" s="2">
        <v>0</v>
      </c>
      <c r="N3" s="2">
        <v>2.8</v>
      </c>
      <c r="O3" s="2">
        <v>634436</v>
      </c>
      <c r="P3" s="2">
        <v>106130.54</v>
      </c>
      <c r="Q3">
        <f t="shared" ref="Q3:Q66" si="1">IF(C3="East",1,0)</f>
        <v>1</v>
      </c>
      <c r="R3">
        <f t="shared" ref="R3:R66" si="2">IF(C3="South",1,0)</f>
        <v>0</v>
      </c>
      <c r="S3">
        <f t="shared" ref="S3:S66" si="3">IF(D3="Airport",1,0)</f>
        <v>0</v>
      </c>
      <c r="T3">
        <f t="shared" ref="T3:T66" si="4">IF(D3="High Street",1,0)</f>
        <v>0</v>
      </c>
      <c r="U3">
        <f t="shared" ref="U3:U66" si="5">IF(D3="Mall",1,0)</f>
        <v>0</v>
      </c>
    </row>
    <row r="4" spans="1:23" ht="40.5" customHeight="1">
      <c r="A4" s="2" t="s">
        <v>14</v>
      </c>
      <c r="B4" s="3">
        <v>45717</v>
      </c>
      <c r="C4" s="2" t="s">
        <v>15</v>
      </c>
      <c r="D4" s="2" t="s">
        <v>16</v>
      </c>
      <c r="E4" s="2">
        <v>59921.75</v>
      </c>
      <c r="F4" s="2">
        <v>9113</v>
      </c>
      <c r="G4" s="2">
        <v>0.13300000000000001</v>
      </c>
      <c r="H4" s="2">
        <v>88</v>
      </c>
      <c r="I4">
        <f t="shared" si="0"/>
        <v>0</v>
      </c>
      <c r="J4" s="2">
        <v>20</v>
      </c>
      <c r="K4" s="2">
        <v>88</v>
      </c>
      <c r="L4" s="2">
        <v>12</v>
      </c>
      <c r="M4" s="2">
        <v>0</v>
      </c>
      <c r="N4" s="2">
        <v>3.2</v>
      </c>
      <c r="O4" s="2">
        <v>678722.06</v>
      </c>
      <c r="P4" s="2">
        <v>101883.86</v>
      </c>
      <c r="Q4">
        <f t="shared" si="1"/>
        <v>1</v>
      </c>
      <c r="R4">
        <f t="shared" si="2"/>
        <v>0</v>
      </c>
      <c r="S4">
        <f t="shared" si="3"/>
        <v>0</v>
      </c>
      <c r="T4">
        <f t="shared" si="4"/>
        <v>0</v>
      </c>
      <c r="U4">
        <f t="shared" si="5"/>
        <v>0</v>
      </c>
    </row>
    <row r="5" spans="1:23" ht="40.5" customHeight="1">
      <c r="A5" s="2" t="s">
        <v>14</v>
      </c>
      <c r="B5" s="3">
        <v>45748</v>
      </c>
      <c r="C5" s="2" t="s">
        <v>15</v>
      </c>
      <c r="D5" s="2" t="s">
        <v>16</v>
      </c>
      <c r="E5" s="2">
        <v>56856.63</v>
      </c>
      <c r="F5" s="2">
        <v>9431</v>
      </c>
      <c r="G5" s="2">
        <v>0.14199999999999999</v>
      </c>
      <c r="H5" s="2">
        <v>86.9</v>
      </c>
      <c r="I5">
        <f t="shared" si="0"/>
        <v>0</v>
      </c>
      <c r="J5" s="2">
        <v>23</v>
      </c>
      <c r="K5" s="2">
        <v>86.9</v>
      </c>
      <c r="L5" s="2">
        <v>4.97</v>
      </c>
      <c r="M5" s="2">
        <v>0</v>
      </c>
      <c r="N5" s="2">
        <v>3.4</v>
      </c>
      <c r="O5" s="2">
        <v>658920.30000000005</v>
      </c>
      <c r="P5" s="2">
        <v>97910.37</v>
      </c>
      <c r="Q5">
        <f t="shared" si="1"/>
        <v>1</v>
      </c>
      <c r="R5">
        <f t="shared" si="2"/>
        <v>0</v>
      </c>
      <c r="S5">
        <f t="shared" si="3"/>
        <v>0</v>
      </c>
      <c r="T5">
        <f t="shared" si="4"/>
        <v>0</v>
      </c>
      <c r="U5">
        <f t="shared" si="5"/>
        <v>0</v>
      </c>
    </row>
    <row r="6" spans="1:23" ht="40.5" customHeight="1">
      <c r="A6" s="2" t="s">
        <v>17</v>
      </c>
      <c r="B6" s="3">
        <v>45658</v>
      </c>
      <c r="C6" s="2" t="s">
        <v>15</v>
      </c>
      <c r="D6" s="2" t="s">
        <v>18</v>
      </c>
      <c r="E6" s="2">
        <v>48412.639999999999</v>
      </c>
      <c r="F6" s="2">
        <v>9545</v>
      </c>
      <c r="G6" s="2">
        <v>0.23100000000000001</v>
      </c>
      <c r="H6" s="2">
        <v>97.6</v>
      </c>
      <c r="I6">
        <f t="shared" si="0"/>
        <v>0</v>
      </c>
      <c r="J6" s="2">
        <v>21</v>
      </c>
      <c r="K6" s="2">
        <v>97.6</v>
      </c>
      <c r="L6" s="2">
        <v>6.94</v>
      </c>
      <c r="M6" s="2">
        <v>1</v>
      </c>
      <c r="N6" s="2">
        <v>4.2</v>
      </c>
      <c r="O6" s="2">
        <v>741341.44</v>
      </c>
      <c r="P6" s="2">
        <v>119208.17</v>
      </c>
      <c r="Q6">
        <f t="shared" si="1"/>
        <v>1</v>
      </c>
      <c r="R6">
        <f t="shared" si="2"/>
        <v>0</v>
      </c>
      <c r="S6">
        <f t="shared" si="3"/>
        <v>0</v>
      </c>
      <c r="T6">
        <f t="shared" si="4"/>
        <v>1</v>
      </c>
      <c r="U6">
        <f t="shared" si="5"/>
        <v>0</v>
      </c>
    </row>
    <row r="7" spans="1:23" ht="40.5" customHeight="1">
      <c r="A7" s="2" t="s">
        <v>17</v>
      </c>
      <c r="B7" s="3">
        <v>45689</v>
      </c>
      <c r="C7" s="2" t="s">
        <v>15</v>
      </c>
      <c r="D7" s="2" t="s">
        <v>18</v>
      </c>
      <c r="E7" s="2">
        <v>64811.21</v>
      </c>
      <c r="F7" s="2">
        <v>9792</v>
      </c>
      <c r="G7" s="2">
        <v>0.112</v>
      </c>
      <c r="H7" s="2">
        <v>84.2</v>
      </c>
      <c r="I7">
        <f t="shared" si="0"/>
        <v>0</v>
      </c>
      <c r="J7" s="2">
        <v>20</v>
      </c>
      <c r="K7" s="2">
        <v>84.2</v>
      </c>
      <c r="L7" s="2">
        <v>2.88</v>
      </c>
      <c r="M7" s="2">
        <v>0</v>
      </c>
      <c r="N7" s="2">
        <v>4.2</v>
      </c>
      <c r="O7" s="2">
        <v>761835.34</v>
      </c>
      <c r="P7" s="2">
        <v>149602.23000000001</v>
      </c>
      <c r="Q7">
        <f t="shared" si="1"/>
        <v>1</v>
      </c>
      <c r="R7">
        <f t="shared" si="2"/>
        <v>0</v>
      </c>
      <c r="S7">
        <f t="shared" si="3"/>
        <v>0</v>
      </c>
      <c r="T7">
        <f t="shared" si="4"/>
        <v>1</v>
      </c>
      <c r="U7">
        <f t="shared" si="5"/>
        <v>0</v>
      </c>
    </row>
    <row r="8" spans="1:23" ht="40.5" customHeight="1">
      <c r="A8" s="2" t="s">
        <v>17</v>
      </c>
      <c r="B8" s="3">
        <v>45717</v>
      </c>
      <c r="C8" s="2" t="s">
        <v>15</v>
      </c>
      <c r="D8" s="2" t="s">
        <v>18</v>
      </c>
      <c r="E8" s="2">
        <v>46213.45</v>
      </c>
      <c r="F8" s="2">
        <v>10616</v>
      </c>
      <c r="G8" s="2">
        <v>0.122</v>
      </c>
      <c r="H8" s="2">
        <v>85.2</v>
      </c>
      <c r="I8">
        <f t="shared" si="0"/>
        <v>0</v>
      </c>
      <c r="J8" s="2">
        <v>22</v>
      </c>
      <c r="K8" s="2">
        <v>85.2</v>
      </c>
      <c r="L8" s="2">
        <v>0.2</v>
      </c>
      <c r="M8" s="2">
        <v>1</v>
      </c>
      <c r="N8" s="2">
        <v>4.0999999999999996</v>
      </c>
      <c r="O8" s="2">
        <v>806615.54</v>
      </c>
      <c r="P8" s="2">
        <v>131364.62</v>
      </c>
      <c r="Q8">
        <f t="shared" si="1"/>
        <v>1</v>
      </c>
      <c r="R8">
        <f t="shared" si="2"/>
        <v>0</v>
      </c>
      <c r="S8">
        <f t="shared" si="3"/>
        <v>0</v>
      </c>
      <c r="T8">
        <f t="shared" si="4"/>
        <v>1</v>
      </c>
      <c r="U8">
        <f t="shared" si="5"/>
        <v>0</v>
      </c>
    </row>
    <row r="9" spans="1:23" ht="40.5" customHeight="1">
      <c r="A9" s="2" t="s">
        <v>17</v>
      </c>
      <c r="B9" s="3">
        <v>45748</v>
      </c>
      <c r="C9" s="2" t="s">
        <v>15</v>
      </c>
      <c r="D9" s="2" t="s">
        <v>18</v>
      </c>
      <c r="E9" s="2">
        <v>68148.52</v>
      </c>
      <c r="F9" s="2">
        <v>8567</v>
      </c>
      <c r="G9" s="2">
        <v>0.127</v>
      </c>
      <c r="H9" s="2">
        <v>95.6</v>
      </c>
      <c r="I9">
        <f t="shared" si="0"/>
        <v>0</v>
      </c>
      <c r="J9" s="2">
        <v>23</v>
      </c>
      <c r="K9" s="2">
        <v>95.6</v>
      </c>
      <c r="L9" s="2">
        <v>0.8</v>
      </c>
      <c r="M9" s="2">
        <v>0</v>
      </c>
      <c r="N9" s="2">
        <v>3.9</v>
      </c>
      <c r="O9" s="2">
        <v>850164.26</v>
      </c>
      <c r="P9" s="2">
        <v>149262.75</v>
      </c>
      <c r="Q9">
        <f t="shared" si="1"/>
        <v>1</v>
      </c>
      <c r="R9">
        <f t="shared" si="2"/>
        <v>0</v>
      </c>
      <c r="S9">
        <f t="shared" si="3"/>
        <v>0</v>
      </c>
      <c r="T9">
        <f t="shared" si="4"/>
        <v>1</v>
      </c>
      <c r="U9">
        <f t="shared" si="5"/>
        <v>0</v>
      </c>
    </row>
    <row r="10" spans="1:23" ht="40.5" customHeight="1">
      <c r="A10" s="2" t="s">
        <v>19</v>
      </c>
      <c r="B10" s="3">
        <v>45658</v>
      </c>
      <c r="C10" s="2" t="s">
        <v>20</v>
      </c>
      <c r="D10" s="2" t="s">
        <v>21</v>
      </c>
      <c r="E10" s="2">
        <v>71838.86</v>
      </c>
      <c r="F10" s="2">
        <v>10979</v>
      </c>
      <c r="G10" s="2">
        <v>0.215</v>
      </c>
      <c r="H10" s="2">
        <v>88.6</v>
      </c>
      <c r="I10">
        <f t="shared" si="0"/>
        <v>1</v>
      </c>
      <c r="J10" s="2">
        <v>26</v>
      </c>
      <c r="K10" s="2">
        <v>88.6</v>
      </c>
      <c r="L10" s="2">
        <v>7.7</v>
      </c>
      <c r="M10" s="2">
        <v>1</v>
      </c>
      <c r="N10" s="2">
        <v>3.8</v>
      </c>
      <c r="O10" s="2">
        <v>930581.7</v>
      </c>
      <c r="P10" s="2">
        <v>136207.98000000001</v>
      </c>
      <c r="Q10">
        <f t="shared" si="1"/>
        <v>0</v>
      </c>
      <c r="R10">
        <f t="shared" si="2"/>
        <v>0</v>
      </c>
      <c r="S10">
        <f t="shared" si="3"/>
        <v>1</v>
      </c>
      <c r="T10">
        <f t="shared" si="4"/>
        <v>0</v>
      </c>
      <c r="U10">
        <f t="shared" si="5"/>
        <v>0</v>
      </c>
    </row>
    <row r="11" spans="1:23" ht="40.5" customHeight="1">
      <c r="A11" s="2" t="s">
        <v>19</v>
      </c>
      <c r="B11" s="3">
        <v>45689</v>
      </c>
      <c r="C11" s="2" t="s">
        <v>20</v>
      </c>
      <c r="D11" s="2" t="s">
        <v>21</v>
      </c>
      <c r="E11" s="2">
        <v>68133.440000000002</v>
      </c>
      <c r="F11" s="2">
        <v>9459</v>
      </c>
      <c r="G11" s="2">
        <v>0.22</v>
      </c>
      <c r="H11" s="2">
        <v>85</v>
      </c>
      <c r="I11">
        <f t="shared" si="0"/>
        <v>1</v>
      </c>
      <c r="J11" s="2">
        <v>21</v>
      </c>
      <c r="K11" s="2">
        <v>85</v>
      </c>
      <c r="L11" s="2">
        <v>1.91</v>
      </c>
      <c r="M11" s="2">
        <v>0</v>
      </c>
      <c r="N11" s="2">
        <v>4.2</v>
      </c>
      <c r="O11" s="2">
        <v>779010.94</v>
      </c>
      <c r="P11" s="2">
        <v>106328.09</v>
      </c>
      <c r="Q11">
        <f t="shared" si="1"/>
        <v>0</v>
      </c>
      <c r="R11">
        <f t="shared" si="2"/>
        <v>0</v>
      </c>
      <c r="S11">
        <f t="shared" si="3"/>
        <v>1</v>
      </c>
      <c r="T11">
        <f t="shared" si="4"/>
        <v>0</v>
      </c>
      <c r="U11">
        <f t="shared" si="5"/>
        <v>0</v>
      </c>
    </row>
    <row r="12" spans="1:23" ht="40.5" customHeight="1">
      <c r="A12" s="2" t="s">
        <v>19</v>
      </c>
      <c r="B12" s="3">
        <v>45717</v>
      </c>
      <c r="C12" s="2" t="s">
        <v>20</v>
      </c>
      <c r="D12" s="2" t="s">
        <v>21</v>
      </c>
      <c r="E12" s="2">
        <v>34285.21</v>
      </c>
      <c r="F12" s="2">
        <v>9172</v>
      </c>
      <c r="G12" s="2">
        <v>0.21299999999999999</v>
      </c>
      <c r="H12" s="2">
        <v>88.3</v>
      </c>
      <c r="I12">
        <f t="shared" si="0"/>
        <v>1</v>
      </c>
      <c r="J12" s="2">
        <v>22</v>
      </c>
      <c r="K12" s="2">
        <v>88.3</v>
      </c>
      <c r="L12" s="2">
        <v>10.46</v>
      </c>
      <c r="M12" s="2">
        <v>1</v>
      </c>
      <c r="N12" s="2">
        <v>3.8</v>
      </c>
      <c r="O12" s="2">
        <v>723060.76</v>
      </c>
      <c r="P12" s="2">
        <v>123131.24</v>
      </c>
      <c r="Q12">
        <f t="shared" si="1"/>
        <v>0</v>
      </c>
      <c r="R12">
        <f t="shared" si="2"/>
        <v>0</v>
      </c>
      <c r="S12">
        <f t="shared" si="3"/>
        <v>1</v>
      </c>
      <c r="T12">
        <f t="shared" si="4"/>
        <v>0</v>
      </c>
      <c r="U12">
        <f t="shared" si="5"/>
        <v>0</v>
      </c>
    </row>
    <row r="13" spans="1:23" ht="40.5" customHeight="1">
      <c r="A13" s="2" t="s">
        <v>19</v>
      </c>
      <c r="B13" s="3">
        <v>45748</v>
      </c>
      <c r="C13" s="2" t="s">
        <v>20</v>
      </c>
      <c r="D13" s="2" t="s">
        <v>21</v>
      </c>
      <c r="E13" s="2">
        <v>67979.88</v>
      </c>
      <c r="F13" s="2">
        <v>11230</v>
      </c>
      <c r="G13" s="2">
        <v>2E-3</v>
      </c>
      <c r="H13" s="2">
        <v>85.3</v>
      </c>
      <c r="I13">
        <f t="shared" si="0"/>
        <v>1</v>
      </c>
      <c r="J13" s="2">
        <v>28</v>
      </c>
      <c r="K13" s="2">
        <v>85.3</v>
      </c>
      <c r="L13" s="2">
        <v>7.16</v>
      </c>
      <c r="M13" s="2">
        <v>0</v>
      </c>
      <c r="N13" s="2">
        <v>3.8</v>
      </c>
      <c r="O13" s="2">
        <v>910791.94</v>
      </c>
      <c r="P13" s="2">
        <v>158891.28</v>
      </c>
      <c r="Q13">
        <f t="shared" si="1"/>
        <v>0</v>
      </c>
      <c r="R13">
        <f t="shared" si="2"/>
        <v>0</v>
      </c>
      <c r="S13">
        <f t="shared" si="3"/>
        <v>1</v>
      </c>
      <c r="T13">
        <f t="shared" si="4"/>
        <v>0</v>
      </c>
      <c r="U13">
        <f t="shared" si="5"/>
        <v>0</v>
      </c>
    </row>
    <row r="14" spans="1:23" ht="40.5" customHeight="1">
      <c r="A14" s="2" t="s">
        <v>22</v>
      </c>
      <c r="B14" s="3">
        <v>45658</v>
      </c>
      <c r="C14" s="2" t="s">
        <v>15</v>
      </c>
      <c r="D14" s="2" t="s">
        <v>16</v>
      </c>
      <c r="E14" s="2">
        <v>71828.259999999995</v>
      </c>
      <c r="F14" s="2">
        <v>12775</v>
      </c>
      <c r="G14" s="2">
        <v>0.11600000000000001</v>
      </c>
      <c r="H14" s="2">
        <v>81.7</v>
      </c>
      <c r="I14">
        <f t="shared" si="0"/>
        <v>0</v>
      </c>
      <c r="J14" s="2">
        <v>30</v>
      </c>
      <c r="K14" s="2">
        <v>81.7</v>
      </c>
      <c r="L14" s="2">
        <v>4.24</v>
      </c>
      <c r="M14" s="2">
        <v>1</v>
      </c>
      <c r="N14" s="2">
        <v>4.2</v>
      </c>
      <c r="O14" s="2">
        <v>922168.6</v>
      </c>
      <c r="P14" s="2">
        <v>107494.53</v>
      </c>
      <c r="Q14">
        <f t="shared" si="1"/>
        <v>1</v>
      </c>
      <c r="R14">
        <f t="shared" si="2"/>
        <v>0</v>
      </c>
      <c r="S14">
        <f t="shared" si="3"/>
        <v>0</v>
      </c>
      <c r="T14">
        <f t="shared" si="4"/>
        <v>0</v>
      </c>
      <c r="U14">
        <f t="shared" si="5"/>
        <v>0</v>
      </c>
    </row>
    <row r="15" spans="1:23" ht="40.5" customHeight="1">
      <c r="A15" s="2" t="s">
        <v>22</v>
      </c>
      <c r="B15" s="3">
        <v>45689</v>
      </c>
      <c r="C15" s="2" t="s">
        <v>15</v>
      </c>
      <c r="D15" s="2" t="s">
        <v>16</v>
      </c>
      <c r="E15" s="2">
        <v>55716.82</v>
      </c>
      <c r="F15" s="2">
        <v>10054</v>
      </c>
      <c r="G15" s="2">
        <v>0.14599999999999999</v>
      </c>
      <c r="H15" s="2">
        <v>84.9</v>
      </c>
      <c r="I15">
        <f t="shared" si="0"/>
        <v>0</v>
      </c>
      <c r="J15" s="2">
        <v>24</v>
      </c>
      <c r="K15" s="2">
        <v>84.9</v>
      </c>
      <c r="L15" s="2">
        <v>1.06</v>
      </c>
      <c r="M15" s="2">
        <v>0</v>
      </c>
      <c r="N15" s="2">
        <v>4.3</v>
      </c>
      <c r="O15" s="2">
        <v>726606.28</v>
      </c>
      <c r="P15" s="2">
        <v>122729.29</v>
      </c>
      <c r="Q15">
        <f t="shared" si="1"/>
        <v>1</v>
      </c>
      <c r="R15">
        <f t="shared" si="2"/>
        <v>0</v>
      </c>
      <c r="S15">
        <f t="shared" si="3"/>
        <v>0</v>
      </c>
      <c r="T15">
        <f t="shared" si="4"/>
        <v>0</v>
      </c>
      <c r="U15">
        <f t="shared" si="5"/>
        <v>0</v>
      </c>
    </row>
    <row r="16" spans="1:23" ht="40.5" customHeight="1">
      <c r="A16" s="2" t="s">
        <v>22</v>
      </c>
      <c r="B16" s="3">
        <v>45717</v>
      </c>
      <c r="C16" s="2" t="s">
        <v>15</v>
      </c>
      <c r="D16" s="2" t="s">
        <v>16</v>
      </c>
      <c r="E16" s="2">
        <v>59909.51</v>
      </c>
      <c r="F16" s="2">
        <v>8895</v>
      </c>
      <c r="G16" s="2">
        <v>0.22800000000000001</v>
      </c>
      <c r="H16" s="2">
        <v>88.8</v>
      </c>
      <c r="I16">
        <f t="shared" si="0"/>
        <v>0</v>
      </c>
      <c r="J16" s="2">
        <v>23</v>
      </c>
      <c r="K16" s="2">
        <v>88.8</v>
      </c>
      <c r="L16" s="2">
        <v>0.27</v>
      </c>
      <c r="M16" s="2">
        <v>0</v>
      </c>
      <c r="N16" s="2">
        <v>4.3</v>
      </c>
      <c r="O16" s="2">
        <v>746501.09</v>
      </c>
      <c r="P16" s="2">
        <v>136816.72</v>
      </c>
      <c r="Q16">
        <f t="shared" si="1"/>
        <v>1</v>
      </c>
      <c r="R16">
        <f t="shared" si="2"/>
        <v>0</v>
      </c>
      <c r="S16">
        <f t="shared" si="3"/>
        <v>0</v>
      </c>
      <c r="T16">
        <f t="shared" si="4"/>
        <v>0</v>
      </c>
      <c r="U16">
        <f t="shared" si="5"/>
        <v>0</v>
      </c>
    </row>
    <row r="17" spans="1:21" ht="40.5" customHeight="1">
      <c r="A17" s="2" t="s">
        <v>22</v>
      </c>
      <c r="B17" s="3">
        <v>45748</v>
      </c>
      <c r="C17" s="2" t="s">
        <v>15</v>
      </c>
      <c r="D17" s="2" t="s">
        <v>16</v>
      </c>
      <c r="E17" s="2">
        <v>75305.710000000006</v>
      </c>
      <c r="F17" s="2">
        <v>10940</v>
      </c>
      <c r="G17" s="2">
        <v>6.0000000000000001E-3</v>
      </c>
      <c r="H17" s="2">
        <v>76.5</v>
      </c>
      <c r="I17">
        <f t="shared" si="0"/>
        <v>0</v>
      </c>
      <c r="J17" s="2">
        <v>26</v>
      </c>
      <c r="K17" s="2">
        <v>76.5</v>
      </c>
      <c r="L17" s="2">
        <v>1.32</v>
      </c>
      <c r="M17" s="2">
        <v>0</v>
      </c>
      <c r="N17" s="2">
        <v>4.5</v>
      </c>
      <c r="O17" s="2">
        <v>834017.02</v>
      </c>
      <c r="P17" s="2">
        <v>114745.03</v>
      </c>
      <c r="Q17">
        <f t="shared" si="1"/>
        <v>1</v>
      </c>
      <c r="R17">
        <f t="shared" si="2"/>
        <v>0</v>
      </c>
      <c r="S17">
        <f t="shared" si="3"/>
        <v>0</v>
      </c>
      <c r="T17">
        <f t="shared" si="4"/>
        <v>0</v>
      </c>
      <c r="U17">
        <f t="shared" si="5"/>
        <v>0</v>
      </c>
    </row>
    <row r="18" spans="1:21" ht="40.5" customHeight="1">
      <c r="A18" s="2" t="s">
        <v>23</v>
      </c>
      <c r="B18" s="3">
        <v>45658</v>
      </c>
      <c r="C18" s="2" t="s">
        <v>24</v>
      </c>
      <c r="D18" s="2" t="s">
        <v>16</v>
      </c>
      <c r="E18" s="2">
        <v>48804.22</v>
      </c>
      <c r="F18" s="2">
        <v>7057</v>
      </c>
      <c r="G18" s="2">
        <v>5.0000000000000001E-3</v>
      </c>
      <c r="H18" s="2">
        <v>87.7</v>
      </c>
      <c r="I18">
        <f t="shared" si="0"/>
        <v>0</v>
      </c>
      <c r="J18" s="2">
        <v>15</v>
      </c>
      <c r="K18" s="2">
        <v>87.7</v>
      </c>
      <c r="L18" s="2">
        <v>1.22</v>
      </c>
      <c r="M18" s="2">
        <v>0</v>
      </c>
      <c r="N18" s="2">
        <v>3.7</v>
      </c>
      <c r="O18" s="2">
        <v>666152.52</v>
      </c>
      <c r="P18" s="2">
        <v>107490.58</v>
      </c>
      <c r="Q18">
        <f t="shared" si="1"/>
        <v>0</v>
      </c>
      <c r="R18">
        <f t="shared" si="2"/>
        <v>1</v>
      </c>
      <c r="S18">
        <f t="shared" si="3"/>
        <v>0</v>
      </c>
      <c r="T18">
        <f t="shared" si="4"/>
        <v>0</v>
      </c>
      <c r="U18">
        <f t="shared" si="5"/>
        <v>0</v>
      </c>
    </row>
    <row r="19" spans="1:21" ht="40.5" customHeight="1">
      <c r="A19" s="2" t="s">
        <v>23</v>
      </c>
      <c r="B19" s="3">
        <v>45689</v>
      </c>
      <c r="C19" s="2" t="s">
        <v>24</v>
      </c>
      <c r="D19" s="2" t="s">
        <v>16</v>
      </c>
      <c r="E19" s="2">
        <v>59117.9</v>
      </c>
      <c r="F19" s="2">
        <v>4263</v>
      </c>
      <c r="G19" s="2">
        <v>0.11899999999999999</v>
      </c>
      <c r="H19" s="2">
        <v>87.6</v>
      </c>
      <c r="I19">
        <f t="shared" si="0"/>
        <v>0</v>
      </c>
      <c r="J19" s="2">
        <v>9</v>
      </c>
      <c r="K19" s="2">
        <v>87.6</v>
      </c>
      <c r="L19" s="2">
        <v>4.01</v>
      </c>
      <c r="M19" s="2">
        <v>0</v>
      </c>
      <c r="N19" s="2">
        <v>3.6</v>
      </c>
      <c r="O19" s="2">
        <v>573155.18999999994</v>
      </c>
      <c r="P19" s="2">
        <v>83680.75</v>
      </c>
      <c r="Q19">
        <f t="shared" si="1"/>
        <v>0</v>
      </c>
      <c r="R19">
        <f t="shared" si="2"/>
        <v>1</v>
      </c>
      <c r="S19">
        <f t="shared" si="3"/>
        <v>0</v>
      </c>
      <c r="T19">
        <f t="shared" si="4"/>
        <v>0</v>
      </c>
      <c r="U19">
        <f t="shared" si="5"/>
        <v>0</v>
      </c>
    </row>
    <row r="20" spans="1:21" ht="40.5" customHeight="1">
      <c r="A20" s="2" t="s">
        <v>23</v>
      </c>
      <c r="B20" s="3">
        <v>45717</v>
      </c>
      <c r="C20" s="2" t="s">
        <v>24</v>
      </c>
      <c r="D20" s="2" t="s">
        <v>16</v>
      </c>
      <c r="E20" s="2">
        <v>78831.12</v>
      </c>
      <c r="F20" s="2">
        <v>5538</v>
      </c>
      <c r="G20" s="2">
        <v>0</v>
      </c>
      <c r="H20" s="2">
        <v>94.1</v>
      </c>
      <c r="I20">
        <f t="shared" si="0"/>
        <v>0</v>
      </c>
      <c r="J20" s="2">
        <v>15</v>
      </c>
      <c r="K20" s="2">
        <v>94.1</v>
      </c>
      <c r="L20" s="2">
        <v>0.2</v>
      </c>
      <c r="M20" s="2">
        <v>0</v>
      </c>
      <c r="N20" s="2">
        <v>3.9</v>
      </c>
      <c r="O20" s="2">
        <v>666573.19999999995</v>
      </c>
      <c r="P20" s="2">
        <v>140641.01999999999</v>
      </c>
      <c r="Q20">
        <f t="shared" si="1"/>
        <v>0</v>
      </c>
      <c r="R20">
        <f t="shared" si="2"/>
        <v>1</v>
      </c>
      <c r="S20">
        <f t="shared" si="3"/>
        <v>0</v>
      </c>
      <c r="T20">
        <f t="shared" si="4"/>
        <v>0</v>
      </c>
      <c r="U20">
        <f t="shared" si="5"/>
        <v>0</v>
      </c>
    </row>
    <row r="21" spans="1:21" ht="40.5" customHeight="1">
      <c r="A21" s="2" t="s">
        <v>23</v>
      </c>
      <c r="B21" s="3">
        <v>45748</v>
      </c>
      <c r="C21" s="2" t="s">
        <v>24</v>
      </c>
      <c r="D21" s="2" t="s">
        <v>16</v>
      </c>
      <c r="E21" s="2">
        <v>41441.93</v>
      </c>
      <c r="F21" s="2">
        <v>4865</v>
      </c>
      <c r="G21" s="2">
        <v>0.158</v>
      </c>
      <c r="H21" s="2">
        <v>88.3</v>
      </c>
      <c r="I21">
        <f t="shared" si="0"/>
        <v>0</v>
      </c>
      <c r="J21" s="2">
        <v>16</v>
      </c>
      <c r="K21" s="2">
        <v>88.3</v>
      </c>
      <c r="L21" s="2">
        <v>0.5</v>
      </c>
      <c r="M21" s="2">
        <v>0</v>
      </c>
      <c r="N21" s="2">
        <v>4</v>
      </c>
      <c r="O21" s="2">
        <v>591619.94999999995</v>
      </c>
      <c r="P21" s="2">
        <v>99521.35</v>
      </c>
      <c r="Q21">
        <f t="shared" si="1"/>
        <v>0</v>
      </c>
      <c r="R21">
        <f t="shared" si="2"/>
        <v>1</v>
      </c>
      <c r="S21">
        <f t="shared" si="3"/>
        <v>0</v>
      </c>
      <c r="T21">
        <f t="shared" si="4"/>
        <v>0</v>
      </c>
      <c r="U21">
        <f t="shared" si="5"/>
        <v>0</v>
      </c>
    </row>
    <row r="22" spans="1:21" ht="40.5" customHeight="1">
      <c r="A22" s="2" t="s">
        <v>25</v>
      </c>
      <c r="B22" s="3">
        <v>45658</v>
      </c>
      <c r="C22" s="2" t="s">
        <v>20</v>
      </c>
      <c r="D22" s="2" t="s">
        <v>16</v>
      </c>
      <c r="E22" s="2">
        <v>30356.28</v>
      </c>
      <c r="F22" s="2">
        <v>2822</v>
      </c>
      <c r="G22" s="2">
        <v>0.23100000000000001</v>
      </c>
      <c r="H22" s="2">
        <v>84.8</v>
      </c>
      <c r="I22">
        <f t="shared" si="0"/>
        <v>1</v>
      </c>
      <c r="J22" s="2">
        <v>9</v>
      </c>
      <c r="K22" s="2">
        <v>84.8</v>
      </c>
      <c r="L22" s="2">
        <v>6.95</v>
      </c>
      <c r="M22" s="2">
        <v>0</v>
      </c>
      <c r="N22" s="2">
        <v>5</v>
      </c>
      <c r="O22" s="2">
        <v>415721.82</v>
      </c>
      <c r="P22" s="2">
        <v>61179.15</v>
      </c>
      <c r="Q22">
        <f t="shared" si="1"/>
        <v>0</v>
      </c>
      <c r="R22">
        <f t="shared" si="2"/>
        <v>0</v>
      </c>
      <c r="S22">
        <f t="shared" si="3"/>
        <v>0</v>
      </c>
      <c r="T22">
        <f t="shared" si="4"/>
        <v>0</v>
      </c>
      <c r="U22">
        <f t="shared" si="5"/>
        <v>0</v>
      </c>
    </row>
    <row r="23" spans="1:21" ht="40.5" customHeight="1">
      <c r="A23" s="2" t="s">
        <v>25</v>
      </c>
      <c r="B23" s="3">
        <v>45689</v>
      </c>
      <c r="C23" s="2" t="s">
        <v>20</v>
      </c>
      <c r="D23" s="2" t="s">
        <v>16</v>
      </c>
      <c r="E23" s="2">
        <v>33518.879999999997</v>
      </c>
      <c r="F23" s="2">
        <v>2121</v>
      </c>
      <c r="G23" s="2">
        <v>0.17599999999999999</v>
      </c>
      <c r="H23" s="2">
        <v>88.5</v>
      </c>
      <c r="I23">
        <f t="shared" si="0"/>
        <v>1</v>
      </c>
      <c r="J23" s="2">
        <v>8</v>
      </c>
      <c r="K23" s="2">
        <v>88.5</v>
      </c>
      <c r="L23" s="2">
        <v>0.2</v>
      </c>
      <c r="M23" s="2">
        <v>0</v>
      </c>
      <c r="N23" s="2">
        <v>5</v>
      </c>
      <c r="O23" s="2">
        <v>491905.13</v>
      </c>
      <c r="P23" s="2">
        <v>79212.259999999995</v>
      </c>
      <c r="Q23">
        <f t="shared" si="1"/>
        <v>0</v>
      </c>
      <c r="R23">
        <f t="shared" si="2"/>
        <v>0</v>
      </c>
      <c r="S23">
        <f t="shared" si="3"/>
        <v>0</v>
      </c>
      <c r="T23">
        <f t="shared" si="4"/>
        <v>0</v>
      </c>
      <c r="U23">
        <f t="shared" si="5"/>
        <v>0</v>
      </c>
    </row>
    <row r="24" spans="1:21" ht="40.5" customHeight="1">
      <c r="A24" s="2" t="s">
        <v>25</v>
      </c>
      <c r="B24" s="3">
        <v>45717</v>
      </c>
      <c r="C24" s="2" t="s">
        <v>20</v>
      </c>
      <c r="D24" s="2" t="s">
        <v>16</v>
      </c>
      <c r="E24" s="2">
        <v>42267.37</v>
      </c>
      <c r="F24" s="2">
        <v>3364</v>
      </c>
      <c r="G24" s="2">
        <v>0.16</v>
      </c>
      <c r="H24" s="2">
        <v>82</v>
      </c>
      <c r="I24">
        <f t="shared" si="0"/>
        <v>1</v>
      </c>
      <c r="J24" s="2">
        <v>13</v>
      </c>
      <c r="K24" s="2">
        <v>82</v>
      </c>
      <c r="L24" s="2">
        <v>1.61</v>
      </c>
      <c r="M24" s="2">
        <v>1</v>
      </c>
      <c r="N24" s="2">
        <v>4.5999999999999996</v>
      </c>
      <c r="O24" s="2">
        <v>555929.4</v>
      </c>
      <c r="P24" s="2">
        <v>115201.76</v>
      </c>
      <c r="Q24">
        <f t="shared" si="1"/>
        <v>0</v>
      </c>
      <c r="R24">
        <f t="shared" si="2"/>
        <v>0</v>
      </c>
      <c r="S24">
        <f t="shared" si="3"/>
        <v>0</v>
      </c>
      <c r="T24">
        <f t="shared" si="4"/>
        <v>0</v>
      </c>
      <c r="U24">
        <f t="shared" si="5"/>
        <v>0</v>
      </c>
    </row>
    <row r="25" spans="1:21" ht="40.5" customHeight="1">
      <c r="A25" s="2" t="s">
        <v>25</v>
      </c>
      <c r="B25" s="3">
        <v>45748</v>
      </c>
      <c r="C25" s="2" t="s">
        <v>20</v>
      </c>
      <c r="D25" s="2" t="s">
        <v>16</v>
      </c>
      <c r="E25" s="2">
        <v>62060.43</v>
      </c>
      <c r="F25" s="2">
        <v>2613</v>
      </c>
      <c r="G25" s="2">
        <v>0.216</v>
      </c>
      <c r="H25" s="2">
        <v>92.1</v>
      </c>
      <c r="I25">
        <f t="shared" si="0"/>
        <v>1</v>
      </c>
      <c r="J25" s="2">
        <v>12</v>
      </c>
      <c r="K25" s="2">
        <v>92.1</v>
      </c>
      <c r="L25" s="2">
        <v>1.55</v>
      </c>
      <c r="M25" s="2">
        <v>0</v>
      </c>
      <c r="N25" s="2">
        <v>4.7</v>
      </c>
      <c r="O25" s="2">
        <v>565810.99</v>
      </c>
      <c r="P25" s="2">
        <v>77825.460000000006</v>
      </c>
      <c r="Q25">
        <f t="shared" si="1"/>
        <v>0</v>
      </c>
      <c r="R25">
        <f t="shared" si="2"/>
        <v>0</v>
      </c>
      <c r="S25">
        <f t="shared" si="3"/>
        <v>0</v>
      </c>
      <c r="T25">
        <f t="shared" si="4"/>
        <v>0</v>
      </c>
      <c r="U25">
        <f t="shared" si="5"/>
        <v>0</v>
      </c>
    </row>
    <row r="26" spans="1:21" ht="40.5" customHeight="1">
      <c r="A26" s="2" t="s">
        <v>26</v>
      </c>
      <c r="B26" s="3">
        <v>45658</v>
      </c>
      <c r="C26" s="2" t="s">
        <v>27</v>
      </c>
      <c r="D26" s="2" t="s">
        <v>28</v>
      </c>
      <c r="E26" s="2">
        <v>57696.69</v>
      </c>
      <c r="F26" s="2">
        <v>10218</v>
      </c>
      <c r="G26" s="2">
        <v>0.121</v>
      </c>
      <c r="H26" s="2">
        <v>94.8</v>
      </c>
      <c r="I26">
        <f t="shared" si="0"/>
        <v>0</v>
      </c>
      <c r="J26" s="2">
        <v>25</v>
      </c>
      <c r="K26" s="2">
        <v>94.8</v>
      </c>
      <c r="L26" s="2">
        <v>2.99</v>
      </c>
      <c r="M26" s="2">
        <v>0</v>
      </c>
      <c r="N26" s="2">
        <v>3.5</v>
      </c>
      <c r="O26" s="2">
        <v>811771.14</v>
      </c>
      <c r="P26" s="2">
        <v>148756.24</v>
      </c>
      <c r="Q26">
        <f t="shared" si="1"/>
        <v>0</v>
      </c>
      <c r="R26">
        <f t="shared" si="2"/>
        <v>0</v>
      </c>
      <c r="S26">
        <f t="shared" si="3"/>
        <v>0</v>
      </c>
      <c r="T26">
        <f t="shared" si="4"/>
        <v>0</v>
      </c>
      <c r="U26">
        <f t="shared" si="5"/>
        <v>1</v>
      </c>
    </row>
    <row r="27" spans="1:21" ht="40.5" customHeight="1">
      <c r="A27" s="2" t="s">
        <v>26</v>
      </c>
      <c r="B27" s="3">
        <v>45689</v>
      </c>
      <c r="C27" s="2" t="s">
        <v>27</v>
      </c>
      <c r="D27" s="2" t="s">
        <v>28</v>
      </c>
      <c r="E27" s="2">
        <v>172415.52</v>
      </c>
      <c r="F27" s="2">
        <v>8927</v>
      </c>
      <c r="G27" s="2">
        <v>0.14000000000000001</v>
      </c>
      <c r="H27" s="2">
        <v>86.2</v>
      </c>
      <c r="I27">
        <f t="shared" si="0"/>
        <v>0</v>
      </c>
      <c r="J27" s="2">
        <v>22</v>
      </c>
      <c r="K27" s="2">
        <v>86.2</v>
      </c>
      <c r="L27" s="2">
        <v>7.04</v>
      </c>
      <c r="M27" s="2">
        <v>0</v>
      </c>
      <c r="N27" s="2">
        <v>3.9</v>
      </c>
      <c r="O27" s="2">
        <v>800451.94</v>
      </c>
      <c r="P27" s="2">
        <v>111572.29</v>
      </c>
      <c r="Q27">
        <f t="shared" si="1"/>
        <v>0</v>
      </c>
      <c r="R27">
        <f t="shared" si="2"/>
        <v>0</v>
      </c>
      <c r="S27">
        <f t="shared" si="3"/>
        <v>0</v>
      </c>
      <c r="T27">
        <f t="shared" si="4"/>
        <v>0</v>
      </c>
      <c r="U27">
        <f t="shared" si="5"/>
        <v>1</v>
      </c>
    </row>
    <row r="28" spans="1:21" ht="40.5" customHeight="1">
      <c r="A28" s="2" t="s">
        <v>26</v>
      </c>
      <c r="B28" s="3">
        <v>45717</v>
      </c>
      <c r="C28" s="2" t="s">
        <v>27</v>
      </c>
      <c r="D28" s="2" t="s">
        <v>28</v>
      </c>
      <c r="E28" s="2">
        <v>55270.52</v>
      </c>
      <c r="F28" s="2">
        <v>9315</v>
      </c>
      <c r="G28" s="2">
        <v>0.16900000000000001</v>
      </c>
      <c r="H28" s="2">
        <v>91.9</v>
      </c>
      <c r="I28">
        <f t="shared" si="0"/>
        <v>0</v>
      </c>
      <c r="J28" s="2">
        <v>23</v>
      </c>
      <c r="K28" s="2">
        <v>91.9</v>
      </c>
      <c r="L28" s="2">
        <v>4.9400000000000004</v>
      </c>
      <c r="M28" s="2">
        <v>0</v>
      </c>
      <c r="N28" s="2">
        <v>4</v>
      </c>
      <c r="O28" s="2">
        <v>783672.82</v>
      </c>
      <c r="P28" s="2">
        <v>112577.14</v>
      </c>
      <c r="Q28">
        <f t="shared" si="1"/>
        <v>0</v>
      </c>
      <c r="R28">
        <f t="shared" si="2"/>
        <v>0</v>
      </c>
      <c r="S28">
        <f t="shared" si="3"/>
        <v>0</v>
      </c>
      <c r="T28">
        <f t="shared" si="4"/>
        <v>0</v>
      </c>
      <c r="U28">
        <f t="shared" si="5"/>
        <v>1</v>
      </c>
    </row>
    <row r="29" spans="1:21" ht="40.5" customHeight="1">
      <c r="A29" s="2" t="s">
        <v>26</v>
      </c>
      <c r="B29" s="3">
        <v>45748</v>
      </c>
      <c r="C29" s="2" t="s">
        <v>27</v>
      </c>
      <c r="D29" s="2" t="s">
        <v>28</v>
      </c>
      <c r="E29" s="2">
        <v>52715.1</v>
      </c>
      <c r="F29" s="2">
        <v>7223</v>
      </c>
      <c r="G29" s="2">
        <v>0.122</v>
      </c>
      <c r="H29" s="2">
        <v>84.2</v>
      </c>
      <c r="I29">
        <f t="shared" si="0"/>
        <v>0</v>
      </c>
      <c r="J29" s="2">
        <v>16</v>
      </c>
      <c r="K29" s="2">
        <v>84.2</v>
      </c>
      <c r="L29" s="2">
        <v>16.149999999999999</v>
      </c>
      <c r="M29" s="2">
        <v>0</v>
      </c>
      <c r="N29" s="2">
        <v>3.7</v>
      </c>
      <c r="O29" s="2">
        <v>701641.97</v>
      </c>
      <c r="P29" s="2">
        <v>106111.86</v>
      </c>
      <c r="Q29">
        <f t="shared" si="1"/>
        <v>0</v>
      </c>
      <c r="R29">
        <f t="shared" si="2"/>
        <v>0</v>
      </c>
      <c r="S29">
        <f t="shared" si="3"/>
        <v>0</v>
      </c>
      <c r="T29">
        <f t="shared" si="4"/>
        <v>0</v>
      </c>
      <c r="U29">
        <f t="shared" si="5"/>
        <v>1</v>
      </c>
    </row>
    <row r="30" spans="1:21" ht="40.5" customHeight="1">
      <c r="A30" s="2" t="s">
        <v>29</v>
      </c>
      <c r="B30" s="3">
        <v>45658</v>
      </c>
      <c r="C30" s="2" t="s">
        <v>15</v>
      </c>
      <c r="D30" s="2" t="s">
        <v>16</v>
      </c>
      <c r="E30" s="2">
        <v>68600.62</v>
      </c>
      <c r="F30" s="2">
        <v>3988</v>
      </c>
      <c r="G30" s="2">
        <v>0.124</v>
      </c>
      <c r="H30" s="2">
        <v>85</v>
      </c>
      <c r="I30">
        <f t="shared" si="0"/>
        <v>0</v>
      </c>
      <c r="J30" s="2">
        <v>11</v>
      </c>
      <c r="K30" s="2">
        <v>85</v>
      </c>
      <c r="L30" s="2">
        <v>0.48</v>
      </c>
      <c r="M30" s="2">
        <v>0</v>
      </c>
      <c r="N30" s="2">
        <v>3.6</v>
      </c>
      <c r="O30" s="2">
        <v>511844.41</v>
      </c>
      <c r="P30" s="2">
        <v>72774.44</v>
      </c>
      <c r="Q30">
        <f t="shared" si="1"/>
        <v>1</v>
      </c>
      <c r="R30">
        <f t="shared" si="2"/>
        <v>0</v>
      </c>
      <c r="S30">
        <f t="shared" si="3"/>
        <v>0</v>
      </c>
      <c r="T30">
        <f t="shared" si="4"/>
        <v>0</v>
      </c>
      <c r="U30">
        <f t="shared" si="5"/>
        <v>0</v>
      </c>
    </row>
    <row r="31" spans="1:21" ht="40.5" customHeight="1">
      <c r="A31" s="2" t="s">
        <v>29</v>
      </c>
      <c r="B31" s="3">
        <v>45689</v>
      </c>
      <c r="C31" s="2" t="s">
        <v>15</v>
      </c>
      <c r="D31" s="2" t="s">
        <v>16</v>
      </c>
      <c r="E31" s="2">
        <v>63176.73</v>
      </c>
      <c r="F31" s="2">
        <v>2390</v>
      </c>
      <c r="G31" s="2">
        <v>0.216</v>
      </c>
      <c r="H31" s="2">
        <v>87.5</v>
      </c>
      <c r="I31">
        <f t="shared" si="0"/>
        <v>0</v>
      </c>
      <c r="J31" s="2">
        <v>9</v>
      </c>
      <c r="K31" s="2">
        <v>87.5</v>
      </c>
      <c r="L31" s="2">
        <v>0.31</v>
      </c>
      <c r="M31" s="2">
        <v>0</v>
      </c>
      <c r="N31" s="2">
        <v>3.1</v>
      </c>
      <c r="O31" s="2">
        <v>537383.79</v>
      </c>
      <c r="P31" s="2">
        <v>63773.27</v>
      </c>
      <c r="Q31">
        <f t="shared" si="1"/>
        <v>1</v>
      </c>
      <c r="R31">
        <f t="shared" si="2"/>
        <v>0</v>
      </c>
      <c r="S31">
        <f t="shared" si="3"/>
        <v>0</v>
      </c>
      <c r="T31">
        <f t="shared" si="4"/>
        <v>0</v>
      </c>
      <c r="U31">
        <f t="shared" si="5"/>
        <v>0</v>
      </c>
    </row>
    <row r="32" spans="1:21" ht="40.5" customHeight="1">
      <c r="A32" s="2" t="s">
        <v>29</v>
      </c>
      <c r="B32" s="3">
        <v>45717</v>
      </c>
      <c r="C32" s="2" t="s">
        <v>15</v>
      </c>
      <c r="D32" s="2" t="s">
        <v>16</v>
      </c>
      <c r="E32" s="2">
        <v>44970.080000000002</v>
      </c>
      <c r="F32" s="2">
        <v>2471</v>
      </c>
      <c r="G32" s="2">
        <v>0.13600000000000001</v>
      </c>
      <c r="H32" s="2">
        <v>87.6</v>
      </c>
      <c r="I32">
        <f t="shared" si="0"/>
        <v>0</v>
      </c>
      <c r="J32" s="2">
        <v>11</v>
      </c>
      <c r="K32" s="2">
        <v>87.6</v>
      </c>
      <c r="L32" s="2">
        <v>3.01</v>
      </c>
      <c r="M32" s="2">
        <v>1</v>
      </c>
      <c r="N32" s="2">
        <v>3.7</v>
      </c>
      <c r="O32" s="2">
        <v>500173.02</v>
      </c>
      <c r="P32" s="2">
        <v>70982.05</v>
      </c>
      <c r="Q32">
        <f t="shared" si="1"/>
        <v>1</v>
      </c>
      <c r="R32">
        <f t="shared" si="2"/>
        <v>0</v>
      </c>
      <c r="S32">
        <f t="shared" si="3"/>
        <v>0</v>
      </c>
      <c r="T32">
        <f t="shared" si="4"/>
        <v>0</v>
      </c>
      <c r="U32">
        <f t="shared" si="5"/>
        <v>0</v>
      </c>
    </row>
    <row r="33" spans="1:21" ht="40.5" customHeight="1">
      <c r="A33" s="2" t="s">
        <v>29</v>
      </c>
      <c r="B33" s="3">
        <v>45748</v>
      </c>
      <c r="C33" s="2" t="s">
        <v>15</v>
      </c>
      <c r="D33" s="2" t="s">
        <v>16</v>
      </c>
      <c r="E33" s="2">
        <v>69816.350000000006</v>
      </c>
      <c r="F33" s="2">
        <v>971</v>
      </c>
      <c r="G33" s="2">
        <v>0.16800000000000001</v>
      </c>
      <c r="H33" s="2">
        <v>89.9</v>
      </c>
      <c r="I33">
        <f t="shared" si="0"/>
        <v>0</v>
      </c>
      <c r="J33" s="2">
        <v>5</v>
      </c>
      <c r="K33" s="2">
        <v>89.9</v>
      </c>
      <c r="L33" s="2">
        <v>12.15</v>
      </c>
      <c r="M33" s="2">
        <v>0</v>
      </c>
      <c r="N33" s="2">
        <v>3.6</v>
      </c>
      <c r="O33" s="2">
        <v>427917.38</v>
      </c>
      <c r="P33" s="2">
        <v>81824.31</v>
      </c>
      <c r="Q33">
        <f t="shared" si="1"/>
        <v>1</v>
      </c>
      <c r="R33">
        <f t="shared" si="2"/>
        <v>0</v>
      </c>
      <c r="S33">
        <f t="shared" si="3"/>
        <v>0</v>
      </c>
      <c r="T33">
        <f t="shared" si="4"/>
        <v>0</v>
      </c>
      <c r="U33">
        <f t="shared" si="5"/>
        <v>0</v>
      </c>
    </row>
    <row r="34" spans="1:21" ht="40.5" customHeight="1">
      <c r="A34" s="2" t="s">
        <v>30</v>
      </c>
      <c r="B34" s="3">
        <v>45658</v>
      </c>
      <c r="C34" s="2" t="s">
        <v>20</v>
      </c>
      <c r="D34" s="2" t="s">
        <v>16</v>
      </c>
      <c r="E34" s="2">
        <v>54597.83</v>
      </c>
      <c r="F34" s="2">
        <v>9429</v>
      </c>
      <c r="G34" s="2">
        <v>0.188</v>
      </c>
      <c r="H34" s="2">
        <v>83.3</v>
      </c>
      <c r="I34">
        <f t="shared" si="0"/>
        <v>1</v>
      </c>
      <c r="J34" s="2">
        <v>21</v>
      </c>
      <c r="K34" s="2">
        <v>83.3</v>
      </c>
      <c r="L34" s="2">
        <v>11.71</v>
      </c>
      <c r="M34" s="2">
        <v>0</v>
      </c>
      <c r="N34" s="2">
        <v>4.2</v>
      </c>
      <c r="O34" s="2">
        <v>641865.03</v>
      </c>
      <c r="P34" s="2">
        <v>81342.58</v>
      </c>
      <c r="Q34">
        <f t="shared" si="1"/>
        <v>0</v>
      </c>
      <c r="R34">
        <f t="shared" si="2"/>
        <v>0</v>
      </c>
      <c r="S34">
        <f t="shared" si="3"/>
        <v>0</v>
      </c>
      <c r="T34">
        <f t="shared" si="4"/>
        <v>0</v>
      </c>
      <c r="U34">
        <f t="shared" si="5"/>
        <v>0</v>
      </c>
    </row>
    <row r="35" spans="1:21" ht="40.5" customHeight="1">
      <c r="A35" s="2" t="s">
        <v>30</v>
      </c>
      <c r="B35" s="3">
        <v>45689</v>
      </c>
      <c r="C35" s="2" t="s">
        <v>20</v>
      </c>
      <c r="D35" s="2" t="s">
        <v>16</v>
      </c>
      <c r="E35" s="2">
        <v>73771.91</v>
      </c>
      <c r="F35" s="2">
        <v>11695</v>
      </c>
      <c r="G35" s="2">
        <v>7.0000000000000007E-2</v>
      </c>
      <c r="H35" s="2">
        <v>84.7</v>
      </c>
      <c r="I35">
        <f t="shared" si="0"/>
        <v>1</v>
      </c>
      <c r="J35" s="2">
        <v>25</v>
      </c>
      <c r="K35" s="2">
        <v>84.7</v>
      </c>
      <c r="L35" s="2">
        <v>0.62</v>
      </c>
      <c r="M35" s="2">
        <v>0</v>
      </c>
      <c r="N35" s="2"/>
      <c r="O35" s="2">
        <v>799477.76000000001</v>
      </c>
      <c r="P35" s="2">
        <v>164974.41</v>
      </c>
      <c r="Q35">
        <f t="shared" si="1"/>
        <v>0</v>
      </c>
      <c r="R35">
        <f t="shared" si="2"/>
        <v>0</v>
      </c>
      <c r="S35">
        <f t="shared" si="3"/>
        <v>0</v>
      </c>
      <c r="T35">
        <f t="shared" si="4"/>
        <v>0</v>
      </c>
      <c r="U35">
        <f t="shared" si="5"/>
        <v>0</v>
      </c>
    </row>
    <row r="36" spans="1:21" ht="40.5" customHeight="1">
      <c r="A36" s="2" t="s">
        <v>30</v>
      </c>
      <c r="B36" s="3">
        <v>45717</v>
      </c>
      <c r="C36" s="2" t="s">
        <v>20</v>
      </c>
      <c r="D36" s="2" t="s">
        <v>16</v>
      </c>
      <c r="E36" s="2">
        <v>74413.88</v>
      </c>
      <c r="F36" s="2">
        <v>9449</v>
      </c>
      <c r="G36" s="2">
        <v>3.9E-2</v>
      </c>
      <c r="H36" s="2">
        <v>92.1</v>
      </c>
      <c r="I36">
        <f t="shared" si="0"/>
        <v>1</v>
      </c>
      <c r="J36" s="2">
        <v>23</v>
      </c>
      <c r="K36" s="2">
        <v>92.1</v>
      </c>
      <c r="L36" s="2">
        <v>2.12</v>
      </c>
      <c r="M36" s="2">
        <v>0</v>
      </c>
      <c r="N36" s="2">
        <v>3.5</v>
      </c>
      <c r="O36" s="2">
        <v>798952.17</v>
      </c>
      <c r="P36" s="2">
        <v>161499.04</v>
      </c>
      <c r="Q36">
        <f t="shared" si="1"/>
        <v>0</v>
      </c>
      <c r="R36">
        <f t="shared" si="2"/>
        <v>0</v>
      </c>
      <c r="S36">
        <f t="shared" si="3"/>
        <v>0</v>
      </c>
      <c r="T36">
        <f t="shared" si="4"/>
        <v>0</v>
      </c>
      <c r="U36">
        <f t="shared" si="5"/>
        <v>0</v>
      </c>
    </row>
    <row r="37" spans="1:21" ht="40.5" customHeight="1">
      <c r="A37" s="2" t="s">
        <v>30</v>
      </c>
      <c r="B37" s="3">
        <v>45748</v>
      </c>
      <c r="C37" s="2" t="s">
        <v>20</v>
      </c>
      <c r="D37" s="2" t="s">
        <v>16</v>
      </c>
      <c r="E37" s="2">
        <v>52483.77</v>
      </c>
      <c r="F37" s="2">
        <v>10453</v>
      </c>
      <c r="G37" s="2">
        <v>0.247</v>
      </c>
      <c r="H37" s="2">
        <v>99</v>
      </c>
      <c r="I37">
        <f t="shared" si="0"/>
        <v>1</v>
      </c>
      <c r="J37" s="2">
        <v>25</v>
      </c>
      <c r="K37" s="2">
        <v>99</v>
      </c>
      <c r="L37" s="2">
        <v>6.31</v>
      </c>
      <c r="M37" s="2">
        <v>0</v>
      </c>
      <c r="N37" s="2">
        <v>3.6</v>
      </c>
      <c r="O37" s="2">
        <v>800979.78</v>
      </c>
      <c r="P37" s="2">
        <v>149242.26999999999</v>
      </c>
      <c r="Q37">
        <f t="shared" si="1"/>
        <v>0</v>
      </c>
      <c r="R37">
        <f t="shared" si="2"/>
        <v>0</v>
      </c>
      <c r="S37">
        <f t="shared" si="3"/>
        <v>0</v>
      </c>
      <c r="T37">
        <f t="shared" si="4"/>
        <v>0</v>
      </c>
      <c r="U37">
        <f t="shared" si="5"/>
        <v>0</v>
      </c>
    </row>
    <row r="38" spans="1:21" ht="40.5" customHeight="1">
      <c r="A38" s="2" t="s">
        <v>31</v>
      </c>
      <c r="B38" s="3">
        <v>45658</v>
      </c>
      <c r="C38" s="2" t="s">
        <v>20</v>
      </c>
      <c r="D38" s="2" t="s">
        <v>28</v>
      </c>
      <c r="E38" s="2">
        <v>75269.87</v>
      </c>
      <c r="F38" s="2">
        <v>8838</v>
      </c>
      <c r="G38" s="2">
        <v>9.1999999999999998E-2</v>
      </c>
      <c r="H38" s="2">
        <v>83.1</v>
      </c>
      <c r="I38">
        <f t="shared" si="0"/>
        <v>1</v>
      </c>
      <c r="J38" s="2">
        <v>21</v>
      </c>
      <c r="K38" s="2">
        <v>83.1</v>
      </c>
      <c r="L38" s="2">
        <v>9.56</v>
      </c>
      <c r="M38" s="2">
        <v>1</v>
      </c>
      <c r="N38" s="2">
        <v>4.2</v>
      </c>
      <c r="O38" s="2">
        <v>820593.93</v>
      </c>
      <c r="P38" s="2">
        <v>115860.06</v>
      </c>
      <c r="Q38">
        <f t="shared" si="1"/>
        <v>0</v>
      </c>
      <c r="R38">
        <f t="shared" si="2"/>
        <v>0</v>
      </c>
      <c r="S38">
        <f t="shared" si="3"/>
        <v>0</v>
      </c>
      <c r="T38">
        <f t="shared" si="4"/>
        <v>0</v>
      </c>
      <c r="U38">
        <f t="shared" si="5"/>
        <v>1</v>
      </c>
    </row>
    <row r="39" spans="1:21" ht="40.5" customHeight="1">
      <c r="A39" s="2" t="s">
        <v>31</v>
      </c>
      <c r="B39" s="3">
        <v>45689</v>
      </c>
      <c r="C39" s="2" t="s">
        <v>20</v>
      </c>
      <c r="D39" s="2" t="s">
        <v>28</v>
      </c>
      <c r="E39" s="2">
        <v>61245.41</v>
      </c>
      <c r="F39" s="2">
        <v>8156</v>
      </c>
      <c r="G39" s="2">
        <v>0.156</v>
      </c>
      <c r="H39" s="2">
        <v>92.9</v>
      </c>
      <c r="I39">
        <f t="shared" si="0"/>
        <v>1</v>
      </c>
      <c r="J39" s="2">
        <v>19</v>
      </c>
      <c r="K39" s="2">
        <v>92.9</v>
      </c>
      <c r="L39" s="2">
        <v>9.0500000000000007</v>
      </c>
      <c r="M39" s="2">
        <v>0</v>
      </c>
      <c r="N39" s="2">
        <v>3.8</v>
      </c>
      <c r="O39" s="2">
        <v>718330.53</v>
      </c>
      <c r="P39" s="2">
        <v>93247.9</v>
      </c>
      <c r="Q39">
        <f t="shared" si="1"/>
        <v>0</v>
      </c>
      <c r="R39">
        <f t="shared" si="2"/>
        <v>0</v>
      </c>
      <c r="S39">
        <f t="shared" si="3"/>
        <v>0</v>
      </c>
      <c r="T39">
        <f t="shared" si="4"/>
        <v>0</v>
      </c>
      <c r="U39">
        <f t="shared" si="5"/>
        <v>1</v>
      </c>
    </row>
    <row r="40" spans="1:21" ht="40.5" customHeight="1">
      <c r="A40" s="2" t="s">
        <v>31</v>
      </c>
      <c r="B40" s="3">
        <v>45717</v>
      </c>
      <c r="C40" s="2" t="s">
        <v>20</v>
      </c>
      <c r="D40" s="2" t="s">
        <v>28</v>
      </c>
      <c r="E40" s="2">
        <v>93381.26</v>
      </c>
      <c r="F40" s="2">
        <v>7562</v>
      </c>
      <c r="G40" s="2">
        <v>0.19800000000000001</v>
      </c>
      <c r="H40" s="2">
        <v>82.9</v>
      </c>
      <c r="I40">
        <f t="shared" si="0"/>
        <v>1</v>
      </c>
      <c r="J40" s="2">
        <v>19</v>
      </c>
      <c r="K40" s="2">
        <v>82.9</v>
      </c>
      <c r="L40" s="2">
        <v>5.05</v>
      </c>
      <c r="M40" s="2">
        <v>0</v>
      </c>
      <c r="N40" s="2">
        <v>4</v>
      </c>
      <c r="O40" s="2">
        <v>736633.4</v>
      </c>
      <c r="P40" s="2">
        <v>115654.66</v>
      </c>
      <c r="Q40">
        <f t="shared" si="1"/>
        <v>0</v>
      </c>
      <c r="R40">
        <f t="shared" si="2"/>
        <v>0</v>
      </c>
      <c r="S40">
        <f t="shared" si="3"/>
        <v>0</v>
      </c>
      <c r="T40">
        <f t="shared" si="4"/>
        <v>0</v>
      </c>
      <c r="U40">
        <f t="shared" si="5"/>
        <v>1</v>
      </c>
    </row>
    <row r="41" spans="1:21" ht="40.5" customHeight="1">
      <c r="A41" s="2" t="s">
        <v>31</v>
      </c>
      <c r="B41" s="3">
        <v>45748</v>
      </c>
      <c r="C41" s="2" t="s">
        <v>20</v>
      </c>
      <c r="D41" s="2" t="s">
        <v>28</v>
      </c>
      <c r="E41" s="2">
        <v>65012.19</v>
      </c>
      <c r="F41" s="2">
        <v>9598</v>
      </c>
      <c r="G41" s="2">
        <v>8.5000000000000006E-2</v>
      </c>
      <c r="H41" s="2">
        <v>98.3</v>
      </c>
      <c r="I41">
        <f t="shared" si="0"/>
        <v>1</v>
      </c>
      <c r="J41" s="2">
        <v>24</v>
      </c>
      <c r="K41" s="2">
        <v>98.3</v>
      </c>
      <c r="L41" s="2">
        <v>0.89</v>
      </c>
      <c r="M41" s="2">
        <v>0</v>
      </c>
      <c r="N41" s="2">
        <v>3.8</v>
      </c>
      <c r="O41" s="2">
        <v>828623.85</v>
      </c>
      <c r="P41" s="2">
        <v>167320.51999999999</v>
      </c>
      <c r="Q41">
        <f t="shared" si="1"/>
        <v>0</v>
      </c>
      <c r="R41">
        <f t="shared" si="2"/>
        <v>0</v>
      </c>
      <c r="S41">
        <f t="shared" si="3"/>
        <v>0</v>
      </c>
      <c r="T41">
        <f t="shared" si="4"/>
        <v>0</v>
      </c>
      <c r="U41">
        <f t="shared" si="5"/>
        <v>1</v>
      </c>
    </row>
    <row r="42" spans="1:21" ht="40.5" customHeight="1">
      <c r="A42" s="2" t="s">
        <v>32</v>
      </c>
      <c r="B42" s="3">
        <v>45658</v>
      </c>
      <c r="C42" s="2" t="s">
        <v>15</v>
      </c>
      <c r="D42" s="2" t="s">
        <v>28</v>
      </c>
      <c r="E42" s="2">
        <v>40462.94</v>
      </c>
      <c r="F42" s="2">
        <v>3660</v>
      </c>
      <c r="G42" s="2">
        <v>0.218</v>
      </c>
      <c r="H42" s="2">
        <v>95.2</v>
      </c>
      <c r="I42">
        <f t="shared" si="0"/>
        <v>0</v>
      </c>
      <c r="J42" s="2">
        <v>11</v>
      </c>
      <c r="K42" s="2">
        <v>95.2</v>
      </c>
      <c r="L42" s="2">
        <v>5.57</v>
      </c>
      <c r="M42" s="2">
        <v>0</v>
      </c>
      <c r="N42" s="2">
        <v>4.4000000000000004</v>
      </c>
      <c r="O42" s="2">
        <v>592195.85</v>
      </c>
      <c r="P42" s="2">
        <v>92291.56</v>
      </c>
      <c r="Q42">
        <f t="shared" si="1"/>
        <v>1</v>
      </c>
      <c r="R42">
        <f t="shared" si="2"/>
        <v>0</v>
      </c>
      <c r="S42">
        <f t="shared" si="3"/>
        <v>0</v>
      </c>
      <c r="T42">
        <f t="shared" si="4"/>
        <v>0</v>
      </c>
      <c r="U42">
        <f t="shared" si="5"/>
        <v>1</v>
      </c>
    </row>
    <row r="43" spans="1:21" ht="40.5" customHeight="1">
      <c r="A43" s="2" t="s">
        <v>32</v>
      </c>
      <c r="B43" s="3">
        <v>45689</v>
      </c>
      <c r="C43" s="2" t="s">
        <v>15</v>
      </c>
      <c r="D43" s="2" t="s">
        <v>28</v>
      </c>
      <c r="E43" s="2">
        <v>46123.88</v>
      </c>
      <c r="F43" s="2">
        <v>3227</v>
      </c>
      <c r="G43" s="2">
        <v>0.14299999999999999</v>
      </c>
      <c r="H43" s="2">
        <v>75.400000000000006</v>
      </c>
      <c r="I43">
        <f t="shared" si="0"/>
        <v>0</v>
      </c>
      <c r="J43" s="2">
        <v>10</v>
      </c>
      <c r="K43" s="2">
        <v>75.400000000000006</v>
      </c>
      <c r="L43" s="2">
        <v>1.06</v>
      </c>
      <c r="M43" s="2">
        <v>0</v>
      </c>
      <c r="N43" s="2">
        <v>4.4000000000000004</v>
      </c>
      <c r="O43" s="2">
        <v>532644.46</v>
      </c>
      <c r="P43" s="2">
        <v>60681.32</v>
      </c>
      <c r="Q43">
        <f t="shared" si="1"/>
        <v>1</v>
      </c>
      <c r="R43">
        <f t="shared" si="2"/>
        <v>0</v>
      </c>
      <c r="S43">
        <f t="shared" si="3"/>
        <v>0</v>
      </c>
      <c r="T43">
        <f t="shared" si="4"/>
        <v>0</v>
      </c>
      <c r="U43">
        <f t="shared" si="5"/>
        <v>1</v>
      </c>
    </row>
    <row r="44" spans="1:21" ht="40.5" customHeight="1">
      <c r="A44" s="2" t="s">
        <v>32</v>
      </c>
      <c r="B44" s="3">
        <v>45717</v>
      </c>
      <c r="C44" s="2" t="s">
        <v>15</v>
      </c>
      <c r="D44" s="2" t="s">
        <v>28</v>
      </c>
      <c r="E44" s="2">
        <v>68077.539999999994</v>
      </c>
      <c r="F44" s="2">
        <v>3360</v>
      </c>
      <c r="G44" s="2">
        <v>0.128</v>
      </c>
      <c r="H44" s="2">
        <v>88.2</v>
      </c>
      <c r="I44">
        <f t="shared" si="0"/>
        <v>0</v>
      </c>
      <c r="J44" s="2">
        <v>14</v>
      </c>
      <c r="K44" s="2">
        <v>88.2</v>
      </c>
      <c r="L44" s="2">
        <v>1.24</v>
      </c>
      <c r="M44" s="2">
        <v>1</v>
      </c>
      <c r="N44" s="2">
        <v>4</v>
      </c>
      <c r="O44" s="2">
        <v>657429.18000000005</v>
      </c>
      <c r="P44" s="2">
        <v>88919.74</v>
      </c>
      <c r="Q44">
        <f t="shared" si="1"/>
        <v>1</v>
      </c>
      <c r="R44">
        <f t="shared" si="2"/>
        <v>0</v>
      </c>
      <c r="S44">
        <f t="shared" si="3"/>
        <v>0</v>
      </c>
      <c r="T44">
        <f t="shared" si="4"/>
        <v>0</v>
      </c>
      <c r="U44">
        <f t="shared" si="5"/>
        <v>1</v>
      </c>
    </row>
    <row r="45" spans="1:21" ht="40.5" customHeight="1">
      <c r="A45" s="2" t="s">
        <v>32</v>
      </c>
      <c r="B45" s="3">
        <v>45748</v>
      </c>
      <c r="C45" s="2" t="s">
        <v>15</v>
      </c>
      <c r="D45" s="2" t="s">
        <v>28</v>
      </c>
      <c r="E45" s="2">
        <v>64882.14</v>
      </c>
      <c r="F45" s="2">
        <v>3642</v>
      </c>
      <c r="G45" s="2">
        <v>1.9E-2</v>
      </c>
      <c r="H45" s="2">
        <v>87.8</v>
      </c>
      <c r="I45">
        <f t="shared" si="0"/>
        <v>0</v>
      </c>
      <c r="J45" s="2">
        <v>13</v>
      </c>
      <c r="K45" s="2">
        <v>87.8</v>
      </c>
      <c r="L45" s="2">
        <v>4.5199999999999996</v>
      </c>
      <c r="M45" s="2">
        <v>0</v>
      </c>
      <c r="N45" s="2">
        <v>4.2</v>
      </c>
      <c r="O45" s="2">
        <v>605178</v>
      </c>
      <c r="P45" s="2">
        <v>106958.74</v>
      </c>
      <c r="Q45">
        <f t="shared" si="1"/>
        <v>1</v>
      </c>
      <c r="R45">
        <f t="shared" si="2"/>
        <v>0</v>
      </c>
      <c r="S45">
        <f t="shared" si="3"/>
        <v>0</v>
      </c>
      <c r="T45">
        <f t="shared" si="4"/>
        <v>0</v>
      </c>
      <c r="U45">
        <f t="shared" si="5"/>
        <v>1</v>
      </c>
    </row>
    <row r="46" spans="1:21" ht="40.5" customHeight="1">
      <c r="A46" s="2" t="s">
        <v>33</v>
      </c>
      <c r="B46" s="3">
        <v>45658</v>
      </c>
      <c r="C46" s="2" t="s">
        <v>27</v>
      </c>
      <c r="D46" s="2" t="s">
        <v>16</v>
      </c>
      <c r="E46" s="2">
        <v>138855.51</v>
      </c>
      <c r="F46" s="2">
        <v>5145</v>
      </c>
      <c r="G46" s="2">
        <v>0.06</v>
      </c>
      <c r="H46" s="2">
        <v>88.2</v>
      </c>
      <c r="I46">
        <f t="shared" si="0"/>
        <v>0</v>
      </c>
      <c r="J46" s="2">
        <v>17</v>
      </c>
      <c r="K46" s="2">
        <v>88.2</v>
      </c>
      <c r="L46" s="2">
        <v>9.58</v>
      </c>
      <c r="M46" s="2">
        <v>0</v>
      </c>
      <c r="N46" s="2">
        <v>3.2</v>
      </c>
      <c r="O46" s="2">
        <v>595467.6</v>
      </c>
      <c r="P46" s="2">
        <v>104276.46</v>
      </c>
      <c r="Q46">
        <f t="shared" si="1"/>
        <v>0</v>
      </c>
      <c r="R46">
        <f t="shared" si="2"/>
        <v>0</v>
      </c>
      <c r="S46">
        <f t="shared" si="3"/>
        <v>0</v>
      </c>
      <c r="T46">
        <f t="shared" si="4"/>
        <v>0</v>
      </c>
      <c r="U46">
        <f t="shared" si="5"/>
        <v>0</v>
      </c>
    </row>
    <row r="47" spans="1:21" ht="40.5" customHeight="1">
      <c r="A47" s="2" t="s">
        <v>33</v>
      </c>
      <c r="B47" s="3">
        <v>45689</v>
      </c>
      <c r="C47" s="2" t="s">
        <v>27</v>
      </c>
      <c r="D47" s="2" t="s">
        <v>16</v>
      </c>
      <c r="E47" s="2">
        <v>63630.21</v>
      </c>
      <c r="F47" s="2">
        <v>4460</v>
      </c>
      <c r="G47" s="2">
        <v>0.23499999999999999</v>
      </c>
      <c r="H47" s="2">
        <v>98.6</v>
      </c>
      <c r="I47">
        <f t="shared" si="0"/>
        <v>0</v>
      </c>
      <c r="J47" s="2">
        <v>14</v>
      </c>
      <c r="K47" s="2">
        <v>98.6</v>
      </c>
      <c r="L47" s="2">
        <v>5.52</v>
      </c>
      <c r="M47" s="2">
        <v>0</v>
      </c>
      <c r="N47" s="2">
        <v>3.5</v>
      </c>
      <c r="O47" s="2">
        <v>599603.4</v>
      </c>
      <c r="P47" s="2">
        <v>112685.12</v>
      </c>
      <c r="Q47">
        <f t="shared" si="1"/>
        <v>0</v>
      </c>
      <c r="R47">
        <f t="shared" si="2"/>
        <v>0</v>
      </c>
      <c r="S47">
        <f t="shared" si="3"/>
        <v>0</v>
      </c>
      <c r="T47">
        <f t="shared" si="4"/>
        <v>0</v>
      </c>
      <c r="U47">
        <f t="shared" si="5"/>
        <v>0</v>
      </c>
    </row>
    <row r="48" spans="1:21" ht="40.5" customHeight="1">
      <c r="A48" s="2" t="s">
        <v>33</v>
      </c>
      <c r="B48" s="3">
        <v>45717</v>
      </c>
      <c r="C48" s="2" t="s">
        <v>27</v>
      </c>
      <c r="D48" s="2" t="s">
        <v>16</v>
      </c>
      <c r="E48" s="2">
        <v>50043.65</v>
      </c>
      <c r="F48" s="2">
        <v>3804</v>
      </c>
      <c r="G48" s="2">
        <v>0.113</v>
      </c>
      <c r="H48" s="2">
        <v>90.9</v>
      </c>
      <c r="I48">
        <f t="shared" si="0"/>
        <v>0</v>
      </c>
      <c r="J48" s="2">
        <v>11</v>
      </c>
      <c r="K48" s="2">
        <v>90.9</v>
      </c>
      <c r="L48" s="2">
        <v>2.7</v>
      </c>
      <c r="M48" s="2">
        <v>1</v>
      </c>
      <c r="N48" s="2">
        <v>3.2</v>
      </c>
      <c r="O48" s="2">
        <v>614800.09</v>
      </c>
      <c r="P48" s="2">
        <v>100044.2</v>
      </c>
      <c r="Q48">
        <f t="shared" si="1"/>
        <v>0</v>
      </c>
      <c r="R48">
        <f t="shared" si="2"/>
        <v>0</v>
      </c>
      <c r="S48">
        <f t="shared" si="3"/>
        <v>0</v>
      </c>
      <c r="T48">
        <f t="shared" si="4"/>
        <v>0</v>
      </c>
      <c r="U48">
        <f t="shared" si="5"/>
        <v>0</v>
      </c>
    </row>
    <row r="49" spans="1:21" ht="40.5" customHeight="1">
      <c r="A49" s="2" t="s">
        <v>33</v>
      </c>
      <c r="B49" s="3">
        <v>45748</v>
      </c>
      <c r="C49" s="2" t="s">
        <v>27</v>
      </c>
      <c r="D49" s="2" t="s">
        <v>16</v>
      </c>
      <c r="E49" s="2">
        <v>42093.84</v>
      </c>
      <c r="F49" s="2">
        <v>4074</v>
      </c>
      <c r="G49" s="2">
        <v>0.155</v>
      </c>
      <c r="H49" s="2">
        <v>88</v>
      </c>
      <c r="I49">
        <f t="shared" si="0"/>
        <v>0</v>
      </c>
      <c r="J49" s="2">
        <v>15</v>
      </c>
      <c r="K49" s="2">
        <v>88</v>
      </c>
      <c r="L49" s="2">
        <v>9.64</v>
      </c>
      <c r="M49" s="2">
        <v>0</v>
      </c>
      <c r="N49" s="2">
        <v>3.3</v>
      </c>
      <c r="O49" s="2">
        <v>585365.73</v>
      </c>
      <c r="P49" s="2">
        <v>81011.520000000004</v>
      </c>
      <c r="Q49">
        <f t="shared" si="1"/>
        <v>0</v>
      </c>
      <c r="R49">
        <f t="shared" si="2"/>
        <v>0</v>
      </c>
      <c r="S49">
        <f t="shared" si="3"/>
        <v>0</v>
      </c>
      <c r="T49">
        <f t="shared" si="4"/>
        <v>0</v>
      </c>
      <c r="U49">
        <f t="shared" si="5"/>
        <v>0</v>
      </c>
    </row>
    <row r="50" spans="1:21" ht="40.5" customHeight="1">
      <c r="A50" s="2" t="s">
        <v>34</v>
      </c>
      <c r="B50" s="3">
        <v>45658</v>
      </c>
      <c r="C50" s="2" t="s">
        <v>20</v>
      </c>
      <c r="D50" s="2" t="s">
        <v>28</v>
      </c>
      <c r="E50" s="2">
        <v>46624.05</v>
      </c>
      <c r="F50" s="2">
        <v>5104</v>
      </c>
      <c r="G50" s="2">
        <v>0.109</v>
      </c>
      <c r="H50" s="2">
        <v>97.3</v>
      </c>
      <c r="I50">
        <f t="shared" si="0"/>
        <v>1</v>
      </c>
      <c r="J50" s="2">
        <v>11</v>
      </c>
      <c r="K50" s="2">
        <v>97.3</v>
      </c>
      <c r="L50" s="2">
        <v>3.49</v>
      </c>
      <c r="M50" s="2">
        <v>1</v>
      </c>
      <c r="N50" s="2">
        <v>4.7</v>
      </c>
      <c r="O50" s="2">
        <v>622811.74</v>
      </c>
      <c r="P50" s="2">
        <v>109978.35</v>
      </c>
      <c r="Q50">
        <f t="shared" si="1"/>
        <v>0</v>
      </c>
      <c r="R50">
        <f t="shared" si="2"/>
        <v>0</v>
      </c>
      <c r="S50">
        <f t="shared" si="3"/>
        <v>0</v>
      </c>
      <c r="T50">
        <f t="shared" si="4"/>
        <v>0</v>
      </c>
      <c r="U50">
        <f t="shared" si="5"/>
        <v>1</v>
      </c>
    </row>
    <row r="51" spans="1:21" ht="40.5" customHeight="1">
      <c r="A51" s="2" t="s">
        <v>34</v>
      </c>
      <c r="B51" s="3">
        <v>45689</v>
      </c>
      <c r="C51" s="2" t="s">
        <v>20</v>
      </c>
      <c r="D51" s="2" t="s">
        <v>28</v>
      </c>
      <c r="E51" s="2">
        <v>49710.29</v>
      </c>
      <c r="F51" s="2">
        <v>5559</v>
      </c>
      <c r="G51" s="2">
        <v>0.218</v>
      </c>
      <c r="H51" s="2">
        <v>71</v>
      </c>
      <c r="I51">
        <f t="shared" si="0"/>
        <v>1</v>
      </c>
      <c r="J51" s="2">
        <v>14</v>
      </c>
      <c r="K51" s="2">
        <v>71</v>
      </c>
      <c r="L51" s="2">
        <v>9.11</v>
      </c>
      <c r="M51" s="2">
        <v>0</v>
      </c>
      <c r="N51" s="2">
        <v>4.5999999999999996</v>
      </c>
      <c r="O51" s="2">
        <v>603297.56999999995</v>
      </c>
      <c r="P51" s="2">
        <v>60592.26</v>
      </c>
      <c r="Q51">
        <f t="shared" si="1"/>
        <v>0</v>
      </c>
      <c r="R51">
        <f t="shared" si="2"/>
        <v>0</v>
      </c>
      <c r="S51">
        <f t="shared" si="3"/>
        <v>0</v>
      </c>
      <c r="T51">
        <f t="shared" si="4"/>
        <v>0</v>
      </c>
      <c r="U51">
        <f t="shared" si="5"/>
        <v>1</v>
      </c>
    </row>
    <row r="52" spans="1:21" ht="40.5" customHeight="1">
      <c r="A52" s="2" t="s">
        <v>34</v>
      </c>
      <c r="B52" s="3">
        <v>45717</v>
      </c>
      <c r="C52" s="2" t="s">
        <v>20</v>
      </c>
      <c r="D52" s="2" t="s">
        <v>28</v>
      </c>
      <c r="E52" s="2">
        <v>48287.85</v>
      </c>
      <c r="F52" s="2">
        <v>5150</v>
      </c>
      <c r="G52" s="2">
        <v>8.0000000000000002E-3</v>
      </c>
      <c r="H52" s="2">
        <v>80.400000000000006</v>
      </c>
      <c r="I52">
        <f t="shared" si="0"/>
        <v>1</v>
      </c>
      <c r="J52" s="2">
        <v>12</v>
      </c>
      <c r="K52" s="2">
        <v>80.400000000000006</v>
      </c>
      <c r="L52" s="2">
        <v>7.4</v>
      </c>
      <c r="M52" s="2">
        <v>0</v>
      </c>
      <c r="N52" s="2">
        <v>4.5</v>
      </c>
      <c r="O52" s="2">
        <v>625672.86</v>
      </c>
      <c r="P52" s="2">
        <v>118020.12</v>
      </c>
      <c r="Q52">
        <f t="shared" si="1"/>
        <v>0</v>
      </c>
      <c r="R52">
        <f t="shared" si="2"/>
        <v>0</v>
      </c>
      <c r="S52">
        <f t="shared" si="3"/>
        <v>0</v>
      </c>
      <c r="T52">
        <f t="shared" si="4"/>
        <v>0</v>
      </c>
      <c r="U52">
        <f t="shared" si="5"/>
        <v>1</v>
      </c>
    </row>
    <row r="53" spans="1:21" ht="40.5" customHeight="1">
      <c r="A53" s="2" t="s">
        <v>34</v>
      </c>
      <c r="B53" s="3">
        <v>45748</v>
      </c>
      <c r="C53" s="2" t="s">
        <v>20</v>
      </c>
      <c r="D53" s="2" t="s">
        <v>28</v>
      </c>
      <c r="E53" s="2">
        <v>65312.49</v>
      </c>
      <c r="F53" s="2">
        <v>7189</v>
      </c>
      <c r="G53" s="2">
        <v>0.05</v>
      </c>
      <c r="H53" s="2">
        <v>93.7</v>
      </c>
      <c r="I53">
        <f t="shared" si="0"/>
        <v>1</v>
      </c>
      <c r="J53" s="2">
        <v>19</v>
      </c>
      <c r="K53" s="2">
        <v>93.7</v>
      </c>
      <c r="L53" s="2">
        <v>7.16</v>
      </c>
      <c r="M53" s="2">
        <v>0</v>
      </c>
      <c r="N53" s="2">
        <v>4.5999999999999996</v>
      </c>
      <c r="O53" s="2">
        <v>773815.14</v>
      </c>
      <c r="P53" s="2">
        <v>133948.39000000001</v>
      </c>
      <c r="Q53">
        <f t="shared" si="1"/>
        <v>0</v>
      </c>
      <c r="R53">
        <f t="shared" si="2"/>
        <v>0</v>
      </c>
      <c r="S53">
        <f t="shared" si="3"/>
        <v>0</v>
      </c>
      <c r="T53">
        <f t="shared" si="4"/>
        <v>0</v>
      </c>
      <c r="U53">
        <f t="shared" si="5"/>
        <v>1</v>
      </c>
    </row>
    <row r="54" spans="1:21" ht="40.5" customHeight="1">
      <c r="A54" s="2" t="s">
        <v>35</v>
      </c>
      <c r="B54" s="3">
        <v>45658</v>
      </c>
      <c r="C54" s="2" t="s">
        <v>27</v>
      </c>
      <c r="D54" s="2" t="s">
        <v>18</v>
      </c>
      <c r="E54" s="2">
        <v>53015.46</v>
      </c>
      <c r="F54" s="2">
        <v>3279</v>
      </c>
      <c r="G54" s="2">
        <v>8.6999999999999994E-2</v>
      </c>
      <c r="H54" s="2">
        <v>84.3</v>
      </c>
      <c r="I54">
        <f t="shared" si="0"/>
        <v>0</v>
      </c>
      <c r="J54" s="2">
        <v>9</v>
      </c>
      <c r="K54" s="2">
        <v>84.3</v>
      </c>
      <c r="L54" s="2">
        <v>22.02</v>
      </c>
      <c r="M54" s="2">
        <v>0</v>
      </c>
      <c r="N54" s="2">
        <v>3.9</v>
      </c>
      <c r="O54" s="2">
        <v>463534.25</v>
      </c>
      <c r="P54" s="2">
        <v>81834.539999999994</v>
      </c>
      <c r="Q54">
        <f t="shared" si="1"/>
        <v>0</v>
      </c>
      <c r="R54">
        <f t="shared" si="2"/>
        <v>0</v>
      </c>
      <c r="S54">
        <f t="shared" si="3"/>
        <v>0</v>
      </c>
      <c r="T54">
        <f t="shared" si="4"/>
        <v>1</v>
      </c>
      <c r="U54">
        <f t="shared" si="5"/>
        <v>0</v>
      </c>
    </row>
    <row r="55" spans="1:21" ht="40.5" customHeight="1">
      <c r="A55" s="2" t="s">
        <v>35</v>
      </c>
      <c r="B55" s="3">
        <v>45689</v>
      </c>
      <c r="C55" s="2" t="s">
        <v>27</v>
      </c>
      <c r="D55" s="2" t="s">
        <v>18</v>
      </c>
      <c r="E55" s="2">
        <v>99874.01</v>
      </c>
      <c r="F55" s="2">
        <v>5887</v>
      </c>
      <c r="G55" s="2">
        <v>0.26200000000000001</v>
      </c>
      <c r="H55" s="2">
        <v>88.7</v>
      </c>
      <c r="I55">
        <f t="shared" si="0"/>
        <v>0</v>
      </c>
      <c r="J55" s="2">
        <v>14</v>
      </c>
      <c r="K55" s="2">
        <v>88.7</v>
      </c>
      <c r="L55" s="2">
        <v>6.18</v>
      </c>
      <c r="M55" s="2">
        <v>0</v>
      </c>
      <c r="N55" s="2">
        <v>4.7</v>
      </c>
      <c r="O55" s="2">
        <v>746677.75</v>
      </c>
      <c r="P55" s="2">
        <v>122437.84</v>
      </c>
      <c r="Q55">
        <f t="shared" si="1"/>
        <v>0</v>
      </c>
      <c r="R55">
        <f t="shared" si="2"/>
        <v>0</v>
      </c>
      <c r="S55">
        <f t="shared" si="3"/>
        <v>0</v>
      </c>
      <c r="T55">
        <f t="shared" si="4"/>
        <v>1</v>
      </c>
      <c r="U55">
        <f t="shared" si="5"/>
        <v>0</v>
      </c>
    </row>
    <row r="56" spans="1:21" ht="40.5" customHeight="1">
      <c r="A56" s="2" t="s">
        <v>35</v>
      </c>
      <c r="B56" s="3">
        <v>45717</v>
      </c>
      <c r="C56" s="2" t="s">
        <v>27</v>
      </c>
      <c r="D56" s="2" t="s">
        <v>18</v>
      </c>
      <c r="E56" s="2">
        <v>81195.5</v>
      </c>
      <c r="F56" s="2">
        <v>5516</v>
      </c>
      <c r="G56" s="2">
        <v>0.106</v>
      </c>
      <c r="H56" s="2">
        <v>88</v>
      </c>
      <c r="I56">
        <f t="shared" si="0"/>
        <v>0</v>
      </c>
      <c r="J56" s="2">
        <v>14</v>
      </c>
      <c r="K56" s="2">
        <v>88</v>
      </c>
      <c r="L56" s="2">
        <v>1.76</v>
      </c>
      <c r="M56" s="2">
        <v>0</v>
      </c>
      <c r="N56" s="2">
        <v>4.3</v>
      </c>
      <c r="O56" s="2">
        <v>720852.5</v>
      </c>
      <c r="P56" s="2">
        <v>98565.62</v>
      </c>
      <c r="Q56">
        <f t="shared" si="1"/>
        <v>0</v>
      </c>
      <c r="R56">
        <f t="shared" si="2"/>
        <v>0</v>
      </c>
      <c r="S56">
        <f t="shared" si="3"/>
        <v>0</v>
      </c>
      <c r="T56">
        <f t="shared" si="4"/>
        <v>1</v>
      </c>
      <c r="U56">
        <f t="shared" si="5"/>
        <v>0</v>
      </c>
    </row>
    <row r="57" spans="1:21" ht="40.5" customHeight="1">
      <c r="A57" s="2" t="s">
        <v>35</v>
      </c>
      <c r="B57" s="3">
        <v>45748</v>
      </c>
      <c r="C57" s="2" t="s">
        <v>27</v>
      </c>
      <c r="D57" s="2" t="s">
        <v>18</v>
      </c>
      <c r="E57" s="2">
        <v>27808.6</v>
      </c>
      <c r="F57" s="2">
        <v>2863</v>
      </c>
      <c r="G57" s="2">
        <v>0.08</v>
      </c>
      <c r="H57" s="2">
        <v>89.3</v>
      </c>
      <c r="I57">
        <f t="shared" si="0"/>
        <v>0</v>
      </c>
      <c r="J57" s="2">
        <v>13</v>
      </c>
      <c r="K57" s="2">
        <v>89.3</v>
      </c>
      <c r="L57" s="2">
        <v>0.47</v>
      </c>
      <c r="M57" s="2">
        <v>0</v>
      </c>
      <c r="N57" s="2">
        <v>4.0999999999999996</v>
      </c>
      <c r="O57" s="2">
        <v>487464.91</v>
      </c>
      <c r="P57" s="2">
        <v>64562.26</v>
      </c>
      <c r="Q57">
        <f t="shared" si="1"/>
        <v>0</v>
      </c>
      <c r="R57">
        <f t="shared" si="2"/>
        <v>0</v>
      </c>
      <c r="S57">
        <f t="shared" si="3"/>
        <v>0</v>
      </c>
      <c r="T57">
        <f t="shared" si="4"/>
        <v>1</v>
      </c>
      <c r="U57">
        <f t="shared" si="5"/>
        <v>0</v>
      </c>
    </row>
    <row r="58" spans="1:21" ht="40.5" customHeight="1">
      <c r="A58" s="2" t="s">
        <v>36</v>
      </c>
      <c r="B58" s="3">
        <v>45658</v>
      </c>
      <c r="C58" s="2" t="s">
        <v>15</v>
      </c>
      <c r="D58" s="2" t="s">
        <v>21</v>
      </c>
      <c r="E58" s="2">
        <v>19365.060000000001</v>
      </c>
      <c r="F58" s="2">
        <v>2378</v>
      </c>
      <c r="G58" s="2">
        <v>0</v>
      </c>
      <c r="H58" s="2">
        <v>94.8</v>
      </c>
      <c r="I58">
        <f t="shared" si="0"/>
        <v>0</v>
      </c>
      <c r="J58" s="2">
        <v>12</v>
      </c>
      <c r="K58" s="2">
        <v>94.8</v>
      </c>
      <c r="L58" s="2">
        <v>0.2</v>
      </c>
      <c r="M58" s="2">
        <v>0</v>
      </c>
      <c r="N58" s="2">
        <v>3.5</v>
      </c>
      <c r="O58" s="2">
        <v>518049.26</v>
      </c>
      <c r="P58" s="2">
        <v>108592.49</v>
      </c>
      <c r="Q58">
        <f t="shared" si="1"/>
        <v>1</v>
      </c>
      <c r="R58">
        <f t="shared" si="2"/>
        <v>0</v>
      </c>
      <c r="S58">
        <f t="shared" si="3"/>
        <v>1</v>
      </c>
      <c r="T58">
        <f t="shared" si="4"/>
        <v>0</v>
      </c>
      <c r="U58">
        <f t="shared" si="5"/>
        <v>0</v>
      </c>
    </row>
    <row r="59" spans="1:21" ht="40.5" customHeight="1">
      <c r="A59" s="2" t="s">
        <v>36</v>
      </c>
      <c r="B59" s="3">
        <v>45689</v>
      </c>
      <c r="C59" s="2" t="s">
        <v>15</v>
      </c>
      <c r="D59" s="2" t="s">
        <v>21</v>
      </c>
      <c r="E59" s="2">
        <v>59405.68</v>
      </c>
      <c r="F59" s="2">
        <v>2515</v>
      </c>
      <c r="G59" s="2">
        <v>3.9E-2</v>
      </c>
      <c r="H59" s="2">
        <v>76</v>
      </c>
      <c r="I59">
        <f t="shared" si="0"/>
        <v>0</v>
      </c>
      <c r="J59" s="2">
        <v>12</v>
      </c>
      <c r="K59" s="2">
        <v>76</v>
      </c>
      <c r="L59" s="2">
        <v>5.1100000000000003</v>
      </c>
      <c r="M59" s="2">
        <v>0</v>
      </c>
      <c r="N59" s="2">
        <v>3.7</v>
      </c>
      <c r="O59" s="2">
        <v>500298.48</v>
      </c>
      <c r="P59" s="2">
        <v>73461.320000000007</v>
      </c>
      <c r="Q59">
        <f t="shared" si="1"/>
        <v>1</v>
      </c>
      <c r="R59">
        <f t="shared" si="2"/>
        <v>0</v>
      </c>
      <c r="S59">
        <f t="shared" si="3"/>
        <v>1</v>
      </c>
      <c r="T59">
        <f t="shared" si="4"/>
        <v>0</v>
      </c>
      <c r="U59">
        <f t="shared" si="5"/>
        <v>0</v>
      </c>
    </row>
    <row r="60" spans="1:21" ht="40.5" customHeight="1">
      <c r="A60" s="2" t="s">
        <v>36</v>
      </c>
      <c r="B60" s="3">
        <v>45717</v>
      </c>
      <c r="C60" s="2" t="s">
        <v>15</v>
      </c>
      <c r="D60" s="2" t="s">
        <v>21</v>
      </c>
      <c r="E60" s="2">
        <v>118910.48</v>
      </c>
      <c r="F60" s="2">
        <v>4022</v>
      </c>
      <c r="G60" s="2">
        <v>0.13700000000000001</v>
      </c>
      <c r="H60" s="2">
        <v>87.1</v>
      </c>
      <c r="I60">
        <f t="shared" si="0"/>
        <v>0</v>
      </c>
      <c r="J60" s="2">
        <v>11</v>
      </c>
      <c r="K60" s="2">
        <v>87.1</v>
      </c>
      <c r="L60" s="2">
        <v>0.2</v>
      </c>
      <c r="M60" s="2">
        <v>0</v>
      </c>
      <c r="N60" s="2">
        <v>3.1</v>
      </c>
      <c r="O60" s="2">
        <v>617291.15</v>
      </c>
      <c r="P60" s="2">
        <v>117782</v>
      </c>
      <c r="Q60">
        <f t="shared" si="1"/>
        <v>1</v>
      </c>
      <c r="R60">
        <f t="shared" si="2"/>
        <v>0</v>
      </c>
      <c r="S60">
        <f t="shared" si="3"/>
        <v>1</v>
      </c>
      <c r="T60">
        <f t="shared" si="4"/>
        <v>0</v>
      </c>
      <c r="U60">
        <f t="shared" si="5"/>
        <v>0</v>
      </c>
    </row>
    <row r="61" spans="1:21" ht="40.5" customHeight="1">
      <c r="A61" s="2" t="s">
        <v>36</v>
      </c>
      <c r="B61" s="3">
        <v>45748</v>
      </c>
      <c r="C61" s="2" t="s">
        <v>15</v>
      </c>
      <c r="D61" s="2" t="s">
        <v>21</v>
      </c>
      <c r="E61" s="2">
        <v>52952.12</v>
      </c>
      <c r="F61" s="2">
        <v>4377</v>
      </c>
      <c r="G61" s="2">
        <v>9.1999999999999998E-2</v>
      </c>
      <c r="H61" s="2">
        <v>88.6</v>
      </c>
      <c r="I61">
        <f t="shared" si="0"/>
        <v>0</v>
      </c>
      <c r="J61" s="2">
        <v>14</v>
      </c>
      <c r="K61" s="2">
        <v>88.6</v>
      </c>
      <c r="L61" s="2">
        <v>13.59</v>
      </c>
      <c r="M61" s="2">
        <v>0</v>
      </c>
      <c r="N61" s="2">
        <v>3.1</v>
      </c>
      <c r="O61" s="2">
        <v>553756.43000000005</v>
      </c>
      <c r="P61" s="2">
        <v>86166.77</v>
      </c>
      <c r="Q61">
        <f t="shared" si="1"/>
        <v>1</v>
      </c>
      <c r="R61">
        <f t="shared" si="2"/>
        <v>0</v>
      </c>
      <c r="S61">
        <f t="shared" si="3"/>
        <v>1</v>
      </c>
      <c r="T61">
        <f t="shared" si="4"/>
        <v>0</v>
      </c>
      <c r="U61">
        <f t="shared" si="5"/>
        <v>0</v>
      </c>
    </row>
    <row r="62" spans="1:21" ht="40.5" customHeight="1">
      <c r="A62" s="2" t="s">
        <v>37</v>
      </c>
      <c r="B62" s="3">
        <v>45658</v>
      </c>
      <c r="C62" s="2" t="s">
        <v>24</v>
      </c>
      <c r="D62" s="2" t="s">
        <v>18</v>
      </c>
      <c r="E62" s="2">
        <v>74907.98</v>
      </c>
      <c r="F62" s="2">
        <v>5306</v>
      </c>
      <c r="G62" s="2">
        <v>6.2E-2</v>
      </c>
      <c r="H62" s="2">
        <v>95.6</v>
      </c>
      <c r="I62">
        <f t="shared" si="0"/>
        <v>0</v>
      </c>
      <c r="J62" s="2">
        <v>16</v>
      </c>
      <c r="K62" s="2">
        <v>95.6</v>
      </c>
      <c r="L62" s="2">
        <v>1.02</v>
      </c>
      <c r="M62" s="2">
        <v>0</v>
      </c>
      <c r="N62" s="2">
        <v>3.7</v>
      </c>
      <c r="O62" s="2">
        <v>749559.71</v>
      </c>
      <c r="P62" s="2">
        <v>144522.53</v>
      </c>
      <c r="Q62">
        <f t="shared" si="1"/>
        <v>0</v>
      </c>
      <c r="R62">
        <f t="shared" si="2"/>
        <v>1</v>
      </c>
      <c r="S62">
        <f t="shared" si="3"/>
        <v>0</v>
      </c>
      <c r="T62">
        <f t="shared" si="4"/>
        <v>1</v>
      </c>
      <c r="U62">
        <f t="shared" si="5"/>
        <v>0</v>
      </c>
    </row>
    <row r="63" spans="1:21" ht="40.5" customHeight="1">
      <c r="A63" s="2" t="s">
        <v>37</v>
      </c>
      <c r="B63" s="3">
        <v>45689</v>
      </c>
      <c r="C63" s="2" t="s">
        <v>24</v>
      </c>
      <c r="D63" s="2" t="s">
        <v>18</v>
      </c>
      <c r="E63" s="2">
        <v>37284.660000000003</v>
      </c>
      <c r="F63" s="2">
        <v>3928</v>
      </c>
      <c r="G63" s="2">
        <v>7.3999999999999996E-2</v>
      </c>
      <c r="H63" s="2">
        <v>86.5</v>
      </c>
      <c r="I63">
        <f t="shared" si="0"/>
        <v>0</v>
      </c>
      <c r="J63" s="2">
        <v>12</v>
      </c>
      <c r="K63" s="2">
        <v>86.5</v>
      </c>
      <c r="L63" s="2">
        <v>1.64</v>
      </c>
      <c r="M63" s="2">
        <v>0</v>
      </c>
      <c r="N63" s="2">
        <v>3.8</v>
      </c>
      <c r="O63" s="2">
        <v>615966.48</v>
      </c>
      <c r="P63" s="2">
        <v>91509.38</v>
      </c>
      <c r="Q63">
        <f t="shared" si="1"/>
        <v>0</v>
      </c>
      <c r="R63">
        <f t="shared" si="2"/>
        <v>1</v>
      </c>
      <c r="S63">
        <f t="shared" si="3"/>
        <v>0</v>
      </c>
      <c r="T63">
        <f t="shared" si="4"/>
        <v>1</v>
      </c>
      <c r="U63">
        <f t="shared" si="5"/>
        <v>0</v>
      </c>
    </row>
    <row r="64" spans="1:21" ht="40.5" customHeight="1">
      <c r="A64" s="2" t="s">
        <v>37</v>
      </c>
      <c r="B64" s="3">
        <v>45717</v>
      </c>
      <c r="C64" s="2" t="s">
        <v>24</v>
      </c>
      <c r="D64" s="2" t="s">
        <v>18</v>
      </c>
      <c r="E64" s="2">
        <v>50343.19</v>
      </c>
      <c r="F64" s="2">
        <v>3845</v>
      </c>
      <c r="G64" s="2">
        <v>0.113</v>
      </c>
      <c r="H64" s="2">
        <v>88.7</v>
      </c>
      <c r="I64">
        <f t="shared" si="0"/>
        <v>0</v>
      </c>
      <c r="J64" s="2">
        <v>9</v>
      </c>
      <c r="K64" s="2">
        <v>88.7</v>
      </c>
      <c r="L64" s="2">
        <v>5.15</v>
      </c>
      <c r="M64" s="2">
        <v>0</v>
      </c>
      <c r="N64" s="2">
        <v>3.3</v>
      </c>
      <c r="O64" s="2">
        <v>572011.19999999995</v>
      </c>
      <c r="P64" s="2">
        <v>101409.68</v>
      </c>
      <c r="Q64">
        <f t="shared" si="1"/>
        <v>0</v>
      </c>
      <c r="R64">
        <f t="shared" si="2"/>
        <v>1</v>
      </c>
      <c r="S64">
        <f t="shared" si="3"/>
        <v>0</v>
      </c>
      <c r="T64">
        <f t="shared" si="4"/>
        <v>1</v>
      </c>
      <c r="U64">
        <f t="shared" si="5"/>
        <v>0</v>
      </c>
    </row>
    <row r="65" spans="1:21" ht="40.5" customHeight="1">
      <c r="A65" s="2" t="s">
        <v>37</v>
      </c>
      <c r="B65" s="3">
        <v>45748</v>
      </c>
      <c r="C65" s="2" t="s">
        <v>24</v>
      </c>
      <c r="D65" s="2" t="s">
        <v>18</v>
      </c>
      <c r="E65" s="2">
        <v>74954.47</v>
      </c>
      <c r="F65" s="2">
        <v>6620</v>
      </c>
      <c r="G65" s="2">
        <v>5.3999999999999999E-2</v>
      </c>
      <c r="H65" s="2">
        <v>91.1</v>
      </c>
      <c r="I65">
        <f t="shared" si="0"/>
        <v>0</v>
      </c>
      <c r="J65" s="2">
        <v>17</v>
      </c>
      <c r="K65" s="2">
        <v>91.1</v>
      </c>
      <c r="L65" s="2">
        <v>1.1100000000000001</v>
      </c>
      <c r="M65" s="2">
        <v>0</v>
      </c>
      <c r="N65" s="2">
        <v>3.5</v>
      </c>
      <c r="O65" s="2">
        <v>761860.19</v>
      </c>
      <c r="P65" s="2">
        <v>133279.38</v>
      </c>
      <c r="Q65">
        <f t="shared" si="1"/>
        <v>0</v>
      </c>
      <c r="R65">
        <f t="shared" si="2"/>
        <v>1</v>
      </c>
      <c r="S65">
        <f t="shared" si="3"/>
        <v>0</v>
      </c>
      <c r="T65">
        <f t="shared" si="4"/>
        <v>1</v>
      </c>
      <c r="U65">
        <f t="shared" si="5"/>
        <v>0</v>
      </c>
    </row>
    <row r="66" spans="1:21" ht="40.5" customHeight="1">
      <c r="A66" s="2" t="s">
        <v>38</v>
      </c>
      <c r="B66" s="3">
        <v>45658</v>
      </c>
      <c r="C66" s="2" t="s">
        <v>27</v>
      </c>
      <c r="D66" s="2" t="s">
        <v>18</v>
      </c>
      <c r="E66" s="2">
        <v>70040.31</v>
      </c>
      <c r="F66" s="2">
        <v>9175</v>
      </c>
      <c r="G66" s="2">
        <v>0.107</v>
      </c>
      <c r="H66" s="2">
        <v>95.1</v>
      </c>
      <c r="I66">
        <f t="shared" ref="I66:I129" si="6">IF(C66="North",1,0)</f>
        <v>0</v>
      </c>
      <c r="J66" s="2">
        <v>23</v>
      </c>
      <c r="K66" s="2">
        <v>95.1</v>
      </c>
      <c r="L66" s="2">
        <v>6.08</v>
      </c>
      <c r="M66" s="2">
        <v>1</v>
      </c>
      <c r="N66" s="2">
        <v>3.4</v>
      </c>
      <c r="O66" s="2">
        <v>784502.68</v>
      </c>
      <c r="P66" s="2">
        <v>129519.72</v>
      </c>
      <c r="Q66">
        <f t="shared" si="1"/>
        <v>0</v>
      </c>
      <c r="R66">
        <f t="shared" si="2"/>
        <v>0</v>
      </c>
      <c r="S66">
        <f t="shared" si="3"/>
        <v>0</v>
      </c>
      <c r="T66">
        <f t="shared" si="4"/>
        <v>1</v>
      </c>
      <c r="U66">
        <f t="shared" si="5"/>
        <v>0</v>
      </c>
    </row>
    <row r="67" spans="1:21" ht="40.5" customHeight="1">
      <c r="A67" s="2" t="s">
        <v>38</v>
      </c>
      <c r="B67" s="3">
        <v>45689</v>
      </c>
      <c r="C67" s="2" t="s">
        <v>27</v>
      </c>
      <c r="D67" s="2" t="s">
        <v>18</v>
      </c>
      <c r="E67" s="2">
        <v>51148.69</v>
      </c>
      <c r="F67" s="2">
        <v>7940</v>
      </c>
      <c r="G67" s="2">
        <v>0.156</v>
      </c>
      <c r="H67" s="2">
        <v>93.3</v>
      </c>
      <c r="I67">
        <f t="shared" si="6"/>
        <v>0</v>
      </c>
      <c r="J67" s="2">
        <v>18</v>
      </c>
      <c r="K67" s="2">
        <v>93.3</v>
      </c>
      <c r="L67" s="2">
        <v>10.91</v>
      </c>
      <c r="M67" s="2">
        <v>0</v>
      </c>
      <c r="N67" s="2">
        <v>3.6</v>
      </c>
      <c r="O67" s="2">
        <v>717141.55</v>
      </c>
      <c r="P67" s="2">
        <v>134013.60999999999</v>
      </c>
      <c r="Q67">
        <f t="shared" ref="Q67:Q130" si="7">IF(C67="East",1,0)</f>
        <v>0</v>
      </c>
      <c r="R67">
        <f t="shared" ref="R67:R130" si="8">IF(C67="South",1,0)</f>
        <v>0</v>
      </c>
      <c r="S67">
        <f t="shared" ref="S67:S130" si="9">IF(D67="Airport",1,0)</f>
        <v>0</v>
      </c>
      <c r="T67">
        <f t="shared" ref="T67:T130" si="10">IF(D67="High Street",1,0)</f>
        <v>1</v>
      </c>
      <c r="U67">
        <f t="shared" ref="U67:U130" si="11">IF(D67="Mall",1,0)</f>
        <v>0</v>
      </c>
    </row>
    <row r="68" spans="1:21" ht="40.5" customHeight="1">
      <c r="A68" s="2" t="s">
        <v>38</v>
      </c>
      <c r="B68" s="3">
        <v>45717</v>
      </c>
      <c r="C68" s="2" t="s">
        <v>27</v>
      </c>
      <c r="D68" s="2" t="s">
        <v>18</v>
      </c>
      <c r="E68" s="2">
        <v>79346.100000000006</v>
      </c>
      <c r="F68" s="2">
        <v>9628</v>
      </c>
      <c r="G68" s="2">
        <v>0.10199999999999999</v>
      </c>
      <c r="H68" s="2">
        <v>99</v>
      </c>
      <c r="I68">
        <f t="shared" si="6"/>
        <v>0</v>
      </c>
      <c r="J68" s="2">
        <v>20</v>
      </c>
      <c r="K68" s="2">
        <v>99</v>
      </c>
      <c r="L68" s="2">
        <v>19.010000000000002</v>
      </c>
      <c r="M68" s="2">
        <v>1</v>
      </c>
      <c r="N68" s="2">
        <v>3.2</v>
      </c>
      <c r="O68" s="2">
        <v>685379.08</v>
      </c>
      <c r="P68" s="2">
        <v>106898.82</v>
      </c>
      <c r="Q68">
        <f t="shared" si="7"/>
        <v>0</v>
      </c>
      <c r="R68">
        <f t="shared" si="8"/>
        <v>0</v>
      </c>
      <c r="S68">
        <f t="shared" si="9"/>
        <v>0</v>
      </c>
      <c r="T68">
        <f t="shared" si="10"/>
        <v>1</v>
      </c>
      <c r="U68">
        <f t="shared" si="11"/>
        <v>0</v>
      </c>
    </row>
    <row r="69" spans="1:21" ht="40.5" customHeight="1">
      <c r="A69" s="2" t="s">
        <v>38</v>
      </c>
      <c r="B69" s="3">
        <v>45748</v>
      </c>
      <c r="C69" s="2" t="s">
        <v>27</v>
      </c>
      <c r="D69" s="2" t="s">
        <v>18</v>
      </c>
      <c r="E69" s="2">
        <v>42018.400000000001</v>
      </c>
      <c r="F69" s="2">
        <v>8296</v>
      </c>
      <c r="G69" s="2">
        <v>0.115</v>
      </c>
      <c r="H69" s="2">
        <v>91.8</v>
      </c>
      <c r="I69">
        <f t="shared" si="6"/>
        <v>0</v>
      </c>
      <c r="J69" s="2">
        <v>17</v>
      </c>
      <c r="K69" s="2">
        <v>91.8</v>
      </c>
      <c r="L69" s="2">
        <v>0.77</v>
      </c>
      <c r="M69" s="2">
        <v>0</v>
      </c>
      <c r="N69" s="2">
        <v>3.4</v>
      </c>
      <c r="O69" s="2">
        <v>740496.65</v>
      </c>
      <c r="P69" s="2">
        <v>128020.9</v>
      </c>
      <c r="Q69">
        <f t="shared" si="7"/>
        <v>0</v>
      </c>
      <c r="R69">
        <f t="shared" si="8"/>
        <v>0</v>
      </c>
      <c r="S69">
        <f t="shared" si="9"/>
        <v>0</v>
      </c>
      <c r="T69">
        <f t="shared" si="10"/>
        <v>1</v>
      </c>
      <c r="U69">
        <f t="shared" si="11"/>
        <v>0</v>
      </c>
    </row>
    <row r="70" spans="1:21" ht="40.5" customHeight="1">
      <c r="A70" s="2" t="s">
        <v>39</v>
      </c>
      <c r="B70" s="3">
        <v>45658</v>
      </c>
      <c r="C70" s="2" t="s">
        <v>15</v>
      </c>
      <c r="D70" s="2" t="s">
        <v>18</v>
      </c>
      <c r="E70" s="2">
        <v>70937.240000000005</v>
      </c>
      <c r="F70" s="2">
        <v>3595</v>
      </c>
      <c r="G70" s="2">
        <v>0.14099999999999999</v>
      </c>
      <c r="H70" s="2">
        <v>88.9</v>
      </c>
      <c r="I70">
        <f t="shared" si="6"/>
        <v>0</v>
      </c>
      <c r="J70" s="2">
        <v>11</v>
      </c>
      <c r="K70" s="2">
        <v>88.9</v>
      </c>
      <c r="L70" s="2">
        <v>2.83</v>
      </c>
      <c r="M70" s="2">
        <v>1</v>
      </c>
      <c r="N70" s="2">
        <v>3.3</v>
      </c>
      <c r="O70" s="2">
        <v>661927.14</v>
      </c>
      <c r="P70" s="2">
        <v>79218.570000000007</v>
      </c>
      <c r="Q70">
        <f t="shared" si="7"/>
        <v>1</v>
      </c>
      <c r="R70">
        <f t="shared" si="8"/>
        <v>0</v>
      </c>
      <c r="S70">
        <f t="shared" si="9"/>
        <v>0</v>
      </c>
      <c r="T70">
        <f t="shared" si="10"/>
        <v>1</v>
      </c>
      <c r="U70">
        <f t="shared" si="11"/>
        <v>0</v>
      </c>
    </row>
    <row r="71" spans="1:21" ht="40.5" customHeight="1">
      <c r="A71" s="2" t="s">
        <v>39</v>
      </c>
      <c r="B71" s="3">
        <v>45689</v>
      </c>
      <c r="C71" s="2" t="s">
        <v>15</v>
      </c>
      <c r="D71" s="2" t="s">
        <v>18</v>
      </c>
      <c r="E71" s="2">
        <v>36813.449999999997</v>
      </c>
      <c r="F71" s="2">
        <v>2834</v>
      </c>
      <c r="G71" s="2">
        <v>0.191</v>
      </c>
      <c r="H71" s="2">
        <v>81.8</v>
      </c>
      <c r="I71">
        <f t="shared" si="6"/>
        <v>0</v>
      </c>
      <c r="J71" s="2">
        <v>11</v>
      </c>
      <c r="K71" s="2">
        <v>81.8</v>
      </c>
      <c r="L71" s="2">
        <v>2.33</v>
      </c>
      <c r="M71" s="2">
        <v>0</v>
      </c>
      <c r="N71" s="2">
        <v>3.3</v>
      </c>
      <c r="O71" s="2">
        <v>479050.5</v>
      </c>
      <c r="P71" s="2">
        <v>53651.11</v>
      </c>
      <c r="Q71">
        <f t="shared" si="7"/>
        <v>1</v>
      </c>
      <c r="R71">
        <f t="shared" si="8"/>
        <v>0</v>
      </c>
      <c r="S71">
        <f t="shared" si="9"/>
        <v>0</v>
      </c>
      <c r="T71">
        <f t="shared" si="10"/>
        <v>1</v>
      </c>
      <c r="U71">
        <f t="shared" si="11"/>
        <v>0</v>
      </c>
    </row>
    <row r="72" spans="1:21" ht="40.5" customHeight="1">
      <c r="A72" s="2" t="s">
        <v>39</v>
      </c>
      <c r="B72" s="3">
        <v>45717</v>
      </c>
      <c r="C72" s="2" t="s">
        <v>15</v>
      </c>
      <c r="D72" s="2" t="s">
        <v>18</v>
      </c>
      <c r="E72" s="2">
        <v>60571.82</v>
      </c>
      <c r="F72" s="2">
        <v>3193</v>
      </c>
      <c r="G72" s="2">
        <v>0.19700000000000001</v>
      </c>
      <c r="H72" s="2">
        <v>99</v>
      </c>
      <c r="I72">
        <f t="shared" si="6"/>
        <v>0</v>
      </c>
      <c r="J72" s="2">
        <v>7</v>
      </c>
      <c r="K72" s="2">
        <v>99</v>
      </c>
      <c r="L72" s="2">
        <v>1.43</v>
      </c>
      <c r="M72" s="2">
        <v>0</v>
      </c>
      <c r="N72" s="2">
        <v>3.2</v>
      </c>
      <c r="O72" s="2">
        <v>605023.87</v>
      </c>
      <c r="P72" s="2">
        <v>98545.81</v>
      </c>
      <c r="Q72">
        <f t="shared" si="7"/>
        <v>1</v>
      </c>
      <c r="R72">
        <f t="shared" si="8"/>
        <v>0</v>
      </c>
      <c r="S72">
        <f t="shared" si="9"/>
        <v>0</v>
      </c>
      <c r="T72">
        <f t="shared" si="10"/>
        <v>1</v>
      </c>
      <c r="U72">
        <f t="shared" si="11"/>
        <v>0</v>
      </c>
    </row>
    <row r="73" spans="1:21" ht="40.5" customHeight="1">
      <c r="A73" s="2" t="s">
        <v>39</v>
      </c>
      <c r="B73" s="3">
        <v>45748</v>
      </c>
      <c r="C73" s="2" t="s">
        <v>15</v>
      </c>
      <c r="D73" s="2" t="s">
        <v>18</v>
      </c>
      <c r="E73" s="2">
        <v>55081.16</v>
      </c>
      <c r="F73" s="2">
        <v>5485</v>
      </c>
      <c r="G73" s="2">
        <v>3.5999999999999997E-2</v>
      </c>
      <c r="H73" s="2">
        <v>88</v>
      </c>
      <c r="I73">
        <f t="shared" si="6"/>
        <v>0</v>
      </c>
      <c r="J73" s="2">
        <v>12</v>
      </c>
      <c r="K73" s="2">
        <v>88</v>
      </c>
      <c r="L73" s="2"/>
      <c r="M73" s="2">
        <v>0</v>
      </c>
      <c r="N73" s="2">
        <v>3.5</v>
      </c>
      <c r="O73" s="2">
        <v>674774.09</v>
      </c>
      <c r="P73" s="2">
        <v>141917.59</v>
      </c>
      <c r="Q73">
        <f t="shared" si="7"/>
        <v>1</v>
      </c>
      <c r="R73">
        <f t="shared" si="8"/>
        <v>0</v>
      </c>
      <c r="S73">
        <f t="shared" si="9"/>
        <v>0</v>
      </c>
      <c r="T73">
        <f t="shared" si="10"/>
        <v>1</v>
      </c>
      <c r="U73">
        <f t="shared" si="11"/>
        <v>0</v>
      </c>
    </row>
    <row r="74" spans="1:21" ht="40.5" customHeight="1">
      <c r="A74" s="2" t="s">
        <v>40</v>
      </c>
      <c r="B74" s="3">
        <v>45658</v>
      </c>
      <c r="C74" s="2" t="s">
        <v>15</v>
      </c>
      <c r="D74" s="2" t="s">
        <v>16</v>
      </c>
      <c r="E74" s="2">
        <v>46201.46</v>
      </c>
      <c r="F74" s="2">
        <v>5918</v>
      </c>
      <c r="G74" s="2">
        <v>0.27700000000000002</v>
      </c>
      <c r="H74" s="2">
        <v>78.8</v>
      </c>
      <c r="I74">
        <f t="shared" si="6"/>
        <v>0</v>
      </c>
      <c r="J74" s="2">
        <v>13</v>
      </c>
      <c r="K74" s="2">
        <v>78.8</v>
      </c>
      <c r="L74" s="2">
        <v>4.91</v>
      </c>
      <c r="M74" s="2">
        <v>0</v>
      </c>
      <c r="N74" s="2">
        <v>4.5</v>
      </c>
      <c r="O74" s="2">
        <v>616069.41</v>
      </c>
      <c r="P74" s="2">
        <v>54453.99</v>
      </c>
      <c r="Q74">
        <f t="shared" si="7"/>
        <v>1</v>
      </c>
      <c r="R74">
        <f t="shared" si="8"/>
        <v>0</v>
      </c>
      <c r="S74">
        <f t="shared" si="9"/>
        <v>0</v>
      </c>
      <c r="T74">
        <f t="shared" si="10"/>
        <v>0</v>
      </c>
      <c r="U74">
        <f t="shared" si="11"/>
        <v>0</v>
      </c>
    </row>
    <row r="75" spans="1:21" ht="40.5" customHeight="1">
      <c r="A75" s="2" t="s">
        <v>40</v>
      </c>
      <c r="B75" s="3">
        <v>45689</v>
      </c>
      <c r="C75" s="2" t="s">
        <v>15</v>
      </c>
      <c r="D75" s="2" t="s">
        <v>16</v>
      </c>
      <c r="E75" s="2">
        <v>53762.92</v>
      </c>
      <c r="F75" s="2">
        <v>6821</v>
      </c>
      <c r="G75" s="2">
        <v>6.6000000000000003E-2</v>
      </c>
      <c r="H75" s="2">
        <v>94.6</v>
      </c>
      <c r="I75">
        <f t="shared" si="6"/>
        <v>0</v>
      </c>
      <c r="J75" s="2">
        <v>19</v>
      </c>
      <c r="K75" s="2">
        <v>94.6</v>
      </c>
      <c r="L75" s="2">
        <v>7.03</v>
      </c>
      <c r="M75" s="2">
        <v>0</v>
      </c>
      <c r="N75" s="2">
        <v>4.4000000000000004</v>
      </c>
      <c r="O75" s="2">
        <v>630829.93999999994</v>
      </c>
      <c r="P75" s="2">
        <v>117090.02</v>
      </c>
      <c r="Q75">
        <f t="shared" si="7"/>
        <v>1</v>
      </c>
      <c r="R75">
        <f t="shared" si="8"/>
        <v>0</v>
      </c>
      <c r="S75">
        <f t="shared" si="9"/>
        <v>0</v>
      </c>
      <c r="T75">
        <f t="shared" si="10"/>
        <v>0</v>
      </c>
      <c r="U75">
        <f t="shared" si="11"/>
        <v>0</v>
      </c>
    </row>
    <row r="76" spans="1:21" ht="40.5" customHeight="1">
      <c r="A76" s="2" t="s">
        <v>40</v>
      </c>
      <c r="B76" s="3">
        <v>45717</v>
      </c>
      <c r="C76" s="2" t="s">
        <v>15</v>
      </c>
      <c r="D76" s="2" t="s">
        <v>16</v>
      </c>
      <c r="E76" s="2">
        <v>70144.78</v>
      </c>
      <c r="F76" s="2">
        <v>6806</v>
      </c>
      <c r="G76" s="2">
        <v>0.17799999999999999</v>
      </c>
      <c r="H76" s="2">
        <v>93.1</v>
      </c>
      <c r="I76">
        <f t="shared" si="6"/>
        <v>0</v>
      </c>
      <c r="J76" s="2">
        <v>20</v>
      </c>
      <c r="K76" s="2">
        <v>93.1</v>
      </c>
      <c r="L76" s="2">
        <v>0.28000000000000003</v>
      </c>
      <c r="M76" s="2">
        <v>1</v>
      </c>
      <c r="N76" s="2">
        <v>4.3</v>
      </c>
      <c r="O76" s="2">
        <v>788087.68</v>
      </c>
      <c r="P76" s="2">
        <v>116803.42</v>
      </c>
      <c r="Q76">
        <f t="shared" si="7"/>
        <v>1</v>
      </c>
      <c r="R76">
        <f t="shared" si="8"/>
        <v>0</v>
      </c>
      <c r="S76">
        <f t="shared" si="9"/>
        <v>0</v>
      </c>
      <c r="T76">
        <f t="shared" si="10"/>
        <v>0</v>
      </c>
      <c r="U76">
        <f t="shared" si="11"/>
        <v>0</v>
      </c>
    </row>
    <row r="77" spans="1:21" ht="40.5" customHeight="1">
      <c r="A77" s="2" t="s">
        <v>40</v>
      </c>
      <c r="B77" s="3">
        <v>45748</v>
      </c>
      <c r="C77" s="2" t="s">
        <v>15</v>
      </c>
      <c r="D77" s="2" t="s">
        <v>16</v>
      </c>
      <c r="E77" s="2">
        <v>58749.63</v>
      </c>
      <c r="F77" s="2">
        <v>8252</v>
      </c>
      <c r="G77" s="2">
        <v>0.20300000000000001</v>
      </c>
      <c r="H77" s="2">
        <v>85.2</v>
      </c>
      <c r="I77">
        <f t="shared" si="6"/>
        <v>0</v>
      </c>
      <c r="J77" s="2">
        <v>20</v>
      </c>
      <c r="K77" s="2">
        <v>85.2</v>
      </c>
      <c r="L77" s="2">
        <v>3.61</v>
      </c>
      <c r="M77" s="2">
        <v>0</v>
      </c>
      <c r="N77" s="2">
        <v>4.5</v>
      </c>
      <c r="O77" s="2">
        <v>680840.36</v>
      </c>
      <c r="P77" s="2">
        <v>68007.679999999993</v>
      </c>
      <c r="Q77">
        <f t="shared" si="7"/>
        <v>1</v>
      </c>
      <c r="R77">
        <f t="shared" si="8"/>
        <v>0</v>
      </c>
      <c r="S77">
        <f t="shared" si="9"/>
        <v>0</v>
      </c>
      <c r="T77">
        <f t="shared" si="10"/>
        <v>0</v>
      </c>
      <c r="U77">
        <f t="shared" si="11"/>
        <v>0</v>
      </c>
    </row>
    <row r="78" spans="1:21" ht="40.5" customHeight="1">
      <c r="A78" s="2" t="s">
        <v>41</v>
      </c>
      <c r="B78" s="3">
        <v>45658</v>
      </c>
      <c r="C78" s="2" t="s">
        <v>24</v>
      </c>
      <c r="D78" s="2" t="s">
        <v>18</v>
      </c>
      <c r="E78" s="2">
        <v>56973.18</v>
      </c>
      <c r="F78" s="2">
        <v>6662</v>
      </c>
      <c r="G78" s="2">
        <v>0.1</v>
      </c>
      <c r="H78" s="2">
        <v>77.7</v>
      </c>
      <c r="I78">
        <f t="shared" si="6"/>
        <v>0</v>
      </c>
      <c r="J78" s="2">
        <v>15</v>
      </c>
      <c r="K78" s="2">
        <v>77.7</v>
      </c>
      <c r="L78" s="2">
        <v>7.52</v>
      </c>
      <c r="M78" s="2">
        <v>1</v>
      </c>
      <c r="N78" s="2">
        <v>3.2</v>
      </c>
      <c r="O78" s="2">
        <v>643657.47</v>
      </c>
      <c r="P78" s="2">
        <v>87022.45</v>
      </c>
      <c r="Q78">
        <f t="shared" si="7"/>
        <v>0</v>
      </c>
      <c r="R78">
        <f t="shared" si="8"/>
        <v>1</v>
      </c>
      <c r="S78">
        <f t="shared" si="9"/>
        <v>0</v>
      </c>
      <c r="T78">
        <f t="shared" si="10"/>
        <v>1</v>
      </c>
      <c r="U78">
        <f t="shared" si="11"/>
        <v>0</v>
      </c>
    </row>
    <row r="79" spans="1:21" ht="40.5" customHeight="1">
      <c r="A79" s="2" t="s">
        <v>41</v>
      </c>
      <c r="B79" s="3">
        <v>45689</v>
      </c>
      <c r="C79" s="2" t="s">
        <v>24</v>
      </c>
      <c r="D79" s="2" t="s">
        <v>18</v>
      </c>
      <c r="E79" s="2">
        <v>54872.82</v>
      </c>
      <c r="F79" s="2">
        <v>5962</v>
      </c>
      <c r="G79" s="2">
        <v>6.4000000000000001E-2</v>
      </c>
      <c r="H79" s="2">
        <v>85.4</v>
      </c>
      <c r="I79">
        <f t="shared" si="6"/>
        <v>0</v>
      </c>
      <c r="J79" s="2">
        <v>12</v>
      </c>
      <c r="K79" s="2">
        <v>85.4</v>
      </c>
      <c r="L79" s="2">
        <v>2.58</v>
      </c>
      <c r="M79" s="2">
        <v>0</v>
      </c>
      <c r="N79" s="2">
        <v>2.9</v>
      </c>
      <c r="O79" s="2">
        <v>691112.6</v>
      </c>
      <c r="P79" s="2">
        <v>109212.83</v>
      </c>
      <c r="Q79">
        <f t="shared" si="7"/>
        <v>0</v>
      </c>
      <c r="R79">
        <f t="shared" si="8"/>
        <v>1</v>
      </c>
      <c r="S79">
        <f t="shared" si="9"/>
        <v>0</v>
      </c>
      <c r="T79">
        <f t="shared" si="10"/>
        <v>1</v>
      </c>
      <c r="U79">
        <f t="shared" si="11"/>
        <v>0</v>
      </c>
    </row>
    <row r="80" spans="1:21" ht="40.5" customHeight="1">
      <c r="A80" s="2" t="s">
        <v>41</v>
      </c>
      <c r="B80" s="3">
        <v>45717</v>
      </c>
      <c r="C80" s="2" t="s">
        <v>24</v>
      </c>
      <c r="D80" s="2" t="s">
        <v>18</v>
      </c>
      <c r="E80" s="2">
        <v>80562.81</v>
      </c>
      <c r="F80" s="2">
        <v>7470</v>
      </c>
      <c r="G80" s="2">
        <v>0.17199999999999999</v>
      </c>
      <c r="H80" s="2">
        <v>83.5</v>
      </c>
      <c r="I80">
        <f t="shared" si="6"/>
        <v>0</v>
      </c>
      <c r="J80" s="2">
        <v>16</v>
      </c>
      <c r="K80" s="2">
        <v>83.5</v>
      </c>
      <c r="L80" s="2">
        <v>2.29</v>
      </c>
      <c r="M80" s="2">
        <v>0</v>
      </c>
      <c r="N80" s="2">
        <v>3.3</v>
      </c>
      <c r="O80" s="2">
        <v>776922.17</v>
      </c>
      <c r="P80" s="2">
        <v>150701.93</v>
      </c>
      <c r="Q80">
        <f t="shared" si="7"/>
        <v>0</v>
      </c>
      <c r="R80">
        <f t="shared" si="8"/>
        <v>1</v>
      </c>
      <c r="S80">
        <f t="shared" si="9"/>
        <v>0</v>
      </c>
      <c r="T80">
        <f t="shared" si="10"/>
        <v>1</v>
      </c>
      <c r="U80">
        <f t="shared" si="11"/>
        <v>0</v>
      </c>
    </row>
    <row r="81" spans="1:21" ht="40.5" customHeight="1">
      <c r="A81" s="2" t="s">
        <v>41</v>
      </c>
      <c r="B81" s="3">
        <v>45748</v>
      </c>
      <c r="C81" s="2" t="s">
        <v>24</v>
      </c>
      <c r="D81" s="2" t="s">
        <v>18</v>
      </c>
      <c r="E81" s="2">
        <v>77999.899999999994</v>
      </c>
      <c r="F81" s="2">
        <v>5974</v>
      </c>
      <c r="G81" s="2">
        <v>0.252</v>
      </c>
      <c r="H81" s="2">
        <v>81.3</v>
      </c>
      <c r="I81">
        <f t="shared" si="6"/>
        <v>0</v>
      </c>
      <c r="J81" s="2">
        <v>14</v>
      </c>
      <c r="K81" s="2">
        <v>81.3</v>
      </c>
      <c r="L81" s="2">
        <v>2.39</v>
      </c>
      <c r="M81" s="2">
        <v>0</v>
      </c>
      <c r="N81" s="2">
        <v>3.2</v>
      </c>
      <c r="O81" s="2">
        <v>636561.34</v>
      </c>
      <c r="P81" s="2">
        <v>93861.06</v>
      </c>
      <c r="Q81">
        <f t="shared" si="7"/>
        <v>0</v>
      </c>
      <c r="R81">
        <f t="shared" si="8"/>
        <v>1</v>
      </c>
      <c r="S81">
        <f t="shared" si="9"/>
        <v>0</v>
      </c>
      <c r="T81">
        <f t="shared" si="10"/>
        <v>1</v>
      </c>
      <c r="U81">
        <f t="shared" si="11"/>
        <v>0</v>
      </c>
    </row>
    <row r="82" spans="1:21" ht="40.5" customHeight="1">
      <c r="A82" s="2" t="s">
        <v>42</v>
      </c>
      <c r="B82" s="3">
        <v>45658</v>
      </c>
      <c r="C82" s="2" t="s">
        <v>27</v>
      </c>
      <c r="D82" s="2" t="s">
        <v>28</v>
      </c>
      <c r="E82" s="2">
        <v>60881.01</v>
      </c>
      <c r="F82" s="2">
        <v>5410</v>
      </c>
      <c r="G82" s="2">
        <v>0.17899999999999999</v>
      </c>
      <c r="H82" s="2">
        <v>83.9</v>
      </c>
      <c r="I82">
        <f t="shared" si="6"/>
        <v>0</v>
      </c>
      <c r="J82" s="2">
        <v>15</v>
      </c>
      <c r="K82" s="2">
        <v>83.9</v>
      </c>
      <c r="L82" s="2">
        <v>5.24</v>
      </c>
      <c r="M82" s="2">
        <v>0</v>
      </c>
      <c r="N82" s="2">
        <v>4.5999999999999996</v>
      </c>
      <c r="O82" s="2">
        <v>621369.57999999996</v>
      </c>
      <c r="P82" s="2">
        <v>85493.64</v>
      </c>
      <c r="Q82">
        <f t="shared" si="7"/>
        <v>0</v>
      </c>
      <c r="R82">
        <f t="shared" si="8"/>
        <v>0</v>
      </c>
      <c r="S82">
        <f t="shared" si="9"/>
        <v>0</v>
      </c>
      <c r="T82">
        <f t="shared" si="10"/>
        <v>0</v>
      </c>
      <c r="U82">
        <f t="shared" si="11"/>
        <v>1</v>
      </c>
    </row>
    <row r="83" spans="1:21" ht="40.5" customHeight="1">
      <c r="A83" s="2" t="s">
        <v>42</v>
      </c>
      <c r="B83" s="3">
        <v>45689</v>
      </c>
      <c r="C83" s="2" t="s">
        <v>27</v>
      </c>
      <c r="D83" s="2" t="s">
        <v>28</v>
      </c>
      <c r="E83" s="2">
        <v>60628.38</v>
      </c>
      <c r="F83" s="2">
        <v>4451</v>
      </c>
      <c r="G83" s="2">
        <v>9.5000000000000001E-2</v>
      </c>
      <c r="H83" s="2">
        <v>89.6</v>
      </c>
      <c r="I83">
        <f t="shared" si="6"/>
        <v>0</v>
      </c>
      <c r="J83" s="2">
        <v>10</v>
      </c>
      <c r="K83" s="2">
        <v>89.6</v>
      </c>
      <c r="L83" s="2">
        <v>3.17</v>
      </c>
      <c r="M83" s="2">
        <v>0</v>
      </c>
      <c r="N83" s="2">
        <v>4.5999999999999996</v>
      </c>
      <c r="O83" s="2">
        <v>682208.01</v>
      </c>
      <c r="P83" s="2">
        <v>110318.84</v>
      </c>
      <c r="Q83">
        <f t="shared" si="7"/>
        <v>0</v>
      </c>
      <c r="R83">
        <f t="shared" si="8"/>
        <v>0</v>
      </c>
      <c r="S83">
        <f t="shared" si="9"/>
        <v>0</v>
      </c>
      <c r="T83">
        <f t="shared" si="10"/>
        <v>0</v>
      </c>
      <c r="U83">
        <f t="shared" si="11"/>
        <v>1</v>
      </c>
    </row>
    <row r="84" spans="1:21" ht="40.5" customHeight="1">
      <c r="A84" s="2" t="s">
        <v>42</v>
      </c>
      <c r="B84" s="3">
        <v>45717</v>
      </c>
      <c r="C84" s="2" t="s">
        <v>27</v>
      </c>
      <c r="D84" s="2" t="s">
        <v>28</v>
      </c>
      <c r="E84" s="2">
        <v>72731.14</v>
      </c>
      <c r="F84" s="2">
        <v>4644</v>
      </c>
      <c r="G84" s="2">
        <v>8.4000000000000005E-2</v>
      </c>
      <c r="H84" s="2">
        <v>87.1</v>
      </c>
      <c r="I84">
        <f t="shared" si="6"/>
        <v>0</v>
      </c>
      <c r="J84" s="2">
        <v>15</v>
      </c>
      <c r="K84" s="2">
        <v>87.1</v>
      </c>
      <c r="L84" s="2">
        <v>2.66</v>
      </c>
      <c r="M84" s="2">
        <v>0</v>
      </c>
      <c r="N84" s="2">
        <v>4.5999999999999996</v>
      </c>
      <c r="O84" s="2">
        <v>727241.86</v>
      </c>
      <c r="P84" s="2">
        <v>155810.29999999999</v>
      </c>
      <c r="Q84">
        <f t="shared" si="7"/>
        <v>0</v>
      </c>
      <c r="R84">
        <f t="shared" si="8"/>
        <v>0</v>
      </c>
      <c r="S84">
        <f t="shared" si="9"/>
        <v>0</v>
      </c>
      <c r="T84">
        <f t="shared" si="10"/>
        <v>0</v>
      </c>
      <c r="U84">
        <f t="shared" si="11"/>
        <v>1</v>
      </c>
    </row>
    <row r="85" spans="1:21" ht="40.5" customHeight="1">
      <c r="A85" s="2" t="s">
        <v>42</v>
      </c>
      <c r="B85" s="3">
        <v>45748</v>
      </c>
      <c r="C85" s="2" t="s">
        <v>27</v>
      </c>
      <c r="D85" s="2" t="s">
        <v>28</v>
      </c>
      <c r="E85" s="2">
        <v>36475.71</v>
      </c>
      <c r="F85" s="2">
        <v>3559</v>
      </c>
      <c r="G85" s="2">
        <v>0.03</v>
      </c>
      <c r="H85" s="2">
        <v>83.6</v>
      </c>
      <c r="I85">
        <f t="shared" si="6"/>
        <v>0</v>
      </c>
      <c r="J85" s="2">
        <v>8</v>
      </c>
      <c r="K85" s="2">
        <v>83.6</v>
      </c>
      <c r="L85" s="2">
        <v>1.41</v>
      </c>
      <c r="M85" s="2">
        <v>0</v>
      </c>
      <c r="N85" s="2">
        <v>4.2</v>
      </c>
      <c r="O85" s="2">
        <v>569100.78</v>
      </c>
      <c r="P85" s="2">
        <v>104808.78</v>
      </c>
      <c r="Q85">
        <f t="shared" si="7"/>
        <v>0</v>
      </c>
      <c r="R85">
        <f t="shared" si="8"/>
        <v>0</v>
      </c>
      <c r="S85">
        <f t="shared" si="9"/>
        <v>0</v>
      </c>
      <c r="T85">
        <f t="shared" si="10"/>
        <v>0</v>
      </c>
      <c r="U85">
        <f t="shared" si="11"/>
        <v>1</v>
      </c>
    </row>
    <row r="86" spans="1:21" ht="40.5" customHeight="1">
      <c r="A86" s="2" t="s">
        <v>43</v>
      </c>
      <c r="B86" s="3">
        <v>45658</v>
      </c>
      <c r="C86" s="2" t="s">
        <v>27</v>
      </c>
      <c r="D86" s="2" t="s">
        <v>18</v>
      </c>
      <c r="E86" s="2">
        <v>55388.11</v>
      </c>
      <c r="F86" s="2">
        <v>3091</v>
      </c>
      <c r="G86" s="2">
        <v>0.108</v>
      </c>
      <c r="H86" s="2">
        <v>85.4</v>
      </c>
      <c r="I86">
        <f t="shared" si="6"/>
        <v>0</v>
      </c>
      <c r="J86" s="2">
        <v>7</v>
      </c>
      <c r="K86" s="2">
        <v>85.4</v>
      </c>
      <c r="L86" s="2">
        <v>7.34</v>
      </c>
      <c r="M86" s="2">
        <v>0</v>
      </c>
      <c r="N86" s="2">
        <v>4.9000000000000004</v>
      </c>
      <c r="O86" s="2">
        <v>574436.29</v>
      </c>
      <c r="P86" s="2">
        <v>80271.990000000005</v>
      </c>
      <c r="Q86">
        <f t="shared" si="7"/>
        <v>0</v>
      </c>
      <c r="R86">
        <f t="shared" si="8"/>
        <v>0</v>
      </c>
      <c r="S86">
        <f t="shared" si="9"/>
        <v>0</v>
      </c>
      <c r="T86">
        <f t="shared" si="10"/>
        <v>1</v>
      </c>
      <c r="U86">
        <f t="shared" si="11"/>
        <v>0</v>
      </c>
    </row>
    <row r="87" spans="1:21" ht="40.5" customHeight="1">
      <c r="A87" s="2" t="s">
        <v>43</v>
      </c>
      <c r="B87" s="3">
        <v>45689</v>
      </c>
      <c r="C87" s="2" t="s">
        <v>27</v>
      </c>
      <c r="D87" s="2" t="s">
        <v>18</v>
      </c>
      <c r="E87" s="2">
        <v>88443.77</v>
      </c>
      <c r="F87" s="2">
        <v>4004</v>
      </c>
      <c r="G87" s="2">
        <v>0.20599999999999999</v>
      </c>
      <c r="H87" s="2">
        <v>91.9</v>
      </c>
      <c r="I87">
        <f t="shared" si="6"/>
        <v>0</v>
      </c>
      <c r="J87" s="2">
        <v>11</v>
      </c>
      <c r="K87" s="2">
        <v>91.9</v>
      </c>
      <c r="L87" s="2">
        <v>5.95</v>
      </c>
      <c r="M87" s="2">
        <v>0</v>
      </c>
      <c r="N87" s="2"/>
      <c r="O87" s="2">
        <v>611766.72</v>
      </c>
      <c r="P87" s="2">
        <v>88275.61</v>
      </c>
      <c r="Q87">
        <f t="shared" si="7"/>
        <v>0</v>
      </c>
      <c r="R87">
        <f t="shared" si="8"/>
        <v>0</v>
      </c>
      <c r="S87">
        <f t="shared" si="9"/>
        <v>0</v>
      </c>
      <c r="T87">
        <f t="shared" si="10"/>
        <v>1</v>
      </c>
      <c r="U87">
        <f t="shared" si="11"/>
        <v>0</v>
      </c>
    </row>
    <row r="88" spans="1:21" ht="40.5" customHeight="1">
      <c r="A88" s="2" t="s">
        <v>43</v>
      </c>
      <c r="B88" s="3">
        <v>45717</v>
      </c>
      <c r="C88" s="2" t="s">
        <v>27</v>
      </c>
      <c r="D88" s="2" t="s">
        <v>18</v>
      </c>
      <c r="E88" s="2">
        <v>78231.91</v>
      </c>
      <c r="F88" s="2">
        <v>3788</v>
      </c>
      <c r="G88" s="2">
        <v>5.8999999999999997E-2</v>
      </c>
      <c r="H88" s="2">
        <v>88.5</v>
      </c>
      <c r="I88">
        <f t="shared" si="6"/>
        <v>0</v>
      </c>
      <c r="J88" s="2">
        <v>11</v>
      </c>
      <c r="K88" s="2">
        <v>88.5</v>
      </c>
      <c r="L88" s="2">
        <v>15.51</v>
      </c>
      <c r="M88" s="2">
        <v>0</v>
      </c>
      <c r="N88" s="2">
        <v>4.3</v>
      </c>
      <c r="O88" s="2">
        <v>614596.31999999995</v>
      </c>
      <c r="P88" s="2">
        <v>131199.41</v>
      </c>
      <c r="Q88">
        <f t="shared" si="7"/>
        <v>0</v>
      </c>
      <c r="R88">
        <f t="shared" si="8"/>
        <v>0</v>
      </c>
      <c r="S88">
        <f t="shared" si="9"/>
        <v>0</v>
      </c>
      <c r="T88">
        <f t="shared" si="10"/>
        <v>1</v>
      </c>
      <c r="U88">
        <f t="shared" si="11"/>
        <v>0</v>
      </c>
    </row>
    <row r="89" spans="1:21" ht="40.5" customHeight="1">
      <c r="A89" s="2" t="s">
        <v>43</v>
      </c>
      <c r="B89" s="3">
        <v>45748</v>
      </c>
      <c r="C89" s="2" t="s">
        <v>27</v>
      </c>
      <c r="D89" s="2" t="s">
        <v>18</v>
      </c>
      <c r="E89" s="2">
        <v>18996.32</v>
      </c>
      <c r="F89" s="2">
        <v>1260</v>
      </c>
      <c r="G89" s="2">
        <v>0.14499999999999999</v>
      </c>
      <c r="H89" s="2">
        <v>86.4</v>
      </c>
      <c r="I89">
        <f t="shared" si="6"/>
        <v>0</v>
      </c>
      <c r="J89" s="2">
        <v>9</v>
      </c>
      <c r="K89" s="2">
        <v>86.4</v>
      </c>
      <c r="L89" s="2">
        <v>4.3099999999999996</v>
      </c>
      <c r="M89" s="2">
        <v>0</v>
      </c>
      <c r="N89" s="2">
        <v>4.5999999999999996</v>
      </c>
      <c r="O89" s="2">
        <v>450711.92</v>
      </c>
      <c r="P89" s="2">
        <v>90043.76</v>
      </c>
      <c r="Q89">
        <f t="shared" si="7"/>
        <v>0</v>
      </c>
      <c r="R89">
        <f t="shared" si="8"/>
        <v>0</v>
      </c>
      <c r="S89">
        <f t="shared" si="9"/>
        <v>0</v>
      </c>
      <c r="T89">
        <f t="shared" si="10"/>
        <v>1</v>
      </c>
      <c r="U89">
        <f t="shared" si="11"/>
        <v>0</v>
      </c>
    </row>
    <row r="90" spans="1:21" ht="40.5" customHeight="1">
      <c r="A90" s="2" t="s">
        <v>44</v>
      </c>
      <c r="B90" s="3">
        <v>45658</v>
      </c>
      <c r="C90" s="2" t="s">
        <v>24</v>
      </c>
      <c r="D90" s="2" t="s">
        <v>28</v>
      </c>
      <c r="E90" s="2">
        <v>50517.94</v>
      </c>
      <c r="F90" s="2">
        <v>7024</v>
      </c>
      <c r="G90" s="2">
        <v>2.9000000000000001E-2</v>
      </c>
      <c r="H90" s="2">
        <v>79.2</v>
      </c>
      <c r="I90">
        <f t="shared" si="6"/>
        <v>0</v>
      </c>
      <c r="J90" s="2">
        <v>18</v>
      </c>
      <c r="K90" s="2">
        <v>79.2</v>
      </c>
      <c r="L90" s="2">
        <v>6.61</v>
      </c>
      <c r="M90" s="2">
        <v>1</v>
      </c>
      <c r="N90" s="2">
        <v>4.0999999999999996</v>
      </c>
      <c r="O90" s="2">
        <v>711213.46</v>
      </c>
      <c r="P90" s="2">
        <v>105863.26</v>
      </c>
      <c r="Q90">
        <f t="shared" si="7"/>
        <v>0</v>
      </c>
      <c r="R90">
        <f t="shared" si="8"/>
        <v>1</v>
      </c>
      <c r="S90">
        <f t="shared" si="9"/>
        <v>0</v>
      </c>
      <c r="T90">
        <f t="shared" si="10"/>
        <v>0</v>
      </c>
      <c r="U90">
        <f t="shared" si="11"/>
        <v>1</v>
      </c>
    </row>
    <row r="91" spans="1:21" ht="40.5" customHeight="1">
      <c r="A91" s="2" t="s">
        <v>44</v>
      </c>
      <c r="B91" s="3">
        <v>45689</v>
      </c>
      <c r="C91" s="2" t="s">
        <v>24</v>
      </c>
      <c r="D91" s="2" t="s">
        <v>28</v>
      </c>
      <c r="E91" s="2">
        <v>141540.29</v>
      </c>
      <c r="F91" s="2">
        <v>5400</v>
      </c>
      <c r="G91" s="2">
        <v>1.2999999999999999E-2</v>
      </c>
      <c r="H91" s="2">
        <v>87</v>
      </c>
      <c r="I91">
        <f t="shared" si="6"/>
        <v>0</v>
      </c>
      <c r="J91" s="2">
        <v>12</v>
      </c>
      <c r="K91" s="2">
        <v>87</v>
      </c>
      <c r="L91" s="2">
        <v>4.26</v>
      </c>
      <c r="M91" s="2">
        <v>0</v>
      </c>
      <c r="N91" s="2">
        <v>4.5</v>
      </c>
      <c r="O91" s="2">
        <v>627171.9</v>
      </c>
      <c r="P91" s="2">
        <v>105772.75</v>
      </c>
      <c r="Q91">
        <f t="shared" si="7"/>
        <v>0</v>
      </c>
      <c r="R91">
        <f t="shared" si="8"/>
        <v>1</v>
      </c>
      <c r="S91">
        <f t="shared" si="9"/>
        <v>0</v>
      </c>
      <c r="T91">
        <f t="shared" si="10"/>
        <v>0</v>
      </c>
      <c r="U91">
        <f t="shared" si="11"/>
        <v>1</v>
      </c>
    </row>
    <row r="92" spans="1:21" ht="40.5" customHeight="1">
      <c r="A92" s="2" t="s">
        <v>44</v>
      </c>
      <c r="B92" s="3">
        <v>45717</v>
      </c>
      <c r="C92" s="2" t="s">
        <v>24</v>
      </c>
      <c r="D92" s="2" t="s">
        <v>28</v>
      </c>
      <c r="E92" s="2">
        <v>82116.19</v>
      </c>
      <c r="F92" s="2">
        <v>5988</v>
      </c>
      <c r="G92" s="2">
        <v>0.04</v>
      </c>
      <c r="H92" s="2">
        <v>91.8</v>
      </c>
      <c r="I92">
        <f t="shared" si="6"/>
        <v>0</v>
      </c>
      <c r="J92" s="2">
        <v>17</v>
      </c>
      <c r="K92" s="2">
        <v>91.8</v>
      </c>
      <c r="L92" s="2">
        <v>5.75</v>
      </c>
      <c r="M92" s="2">
        <v>0</v>
      </c>
      <c r="N92" s="2">
        <v>4.7</v>
      </c>
      <c r="O92" s="2">
        <v>739852.58</v>
      </c>
      <c r="P92" s="2">
        <v>129386.43</v>
      </c>
      <c r="Q92">
        <f t="shared" si="7"/>
        <v>0</v>
      </c>
      <c r="R92">
        <f t="shared" si="8"/>
        <v>1</v>
      </c>
      <c r="S92">
        <f t="shared" si="9"/>
        <v>0</v>
      </c>
      <c r="T92">
        <f t="shared" si="10"/>
        <v>0</v>
      </c>
      <c r="U92">
        <f t="shared" si="11"/>
        <v>1</v>
      </c>
    </row>
    <row r="93" spans="1:21" ht="40.5" customHeight="1">
      <c r="A93" s="2" t="s">
        <v>44</v>
      </c>
      <c r="B93" s="3">
        <v>45748</v>
      </c>
      <c r="C93" s="2" t="s">
        <v>24</v>
      </c>
      <c r="D93" s="2" t="s">
        <v>28</v>
      </c>
      <c r="E93" s="2">
        <v>31207.51</v>
      </c>
      <c r="F93" s="2">
        <v>3701</v>
      </c>
      <c r="G93" s="2">
        <v>4.2999999999999997E-2</v>
      </c>
      <c r="H93" s="2">
        <v>84.7</v>
      </c>
      <c r="I93">
        <f t="shared" si="6"/>
        <v>0</v>
      </c>
      <c r="J93" s="2">
        <v>11</v>
      </c>
      <c r="K93" s="2">
        <v>84.7</v>
      </c>
      <c r="L93" s="2">
        <v>0.33</v>
      </c>
      <c r="M93" s="2">
        <v>0</v>
      </c>
      <c r="N93" s="2">
        <v>4.3</v>
      </c>
      <c r="O93" s="2">
        <v>586307.22</v>
      </c>
      <c r="P93" s="2">
        <v>73927.850000000006</v>
      </c>
      <c r="Q93">
        <f t="shared" si="7"/>
        <v>0</v>
      </c>
      <c r="R93">
        <f t="shared" si="8"/>
        <v>1</v>
      </c>
      <c r="S93">
        <f t="shared" si="9"/>
        <v>0</v>
      </c>
      <c r="T93">
        <f t="shared" si="10"/>
        <v>0</v>
      </c>
      <c r="U93">
        <f t="shared" si="11"/>
        <v>1</v>
      </c>
    </row>
    <row r="94" spans="1:21" ht="40.5" customHeight="1">
      <c r="A94" s="2" t="s">
        <v>45</v>
      </c>
      <c r="B94" s="3">
        <v>45658</v>
      </c>
      <c r="C94" s="2" t="s">
        <v>27</v>
      </c>
      <c r="D94" s="2" t="s">
        <v>16</v>
      </c>
      <c r="E94" s="2">
        <v>38966.589999999997</v>
      </c>
      <c r="F94" s="2">
        <v>4509</v>
      </c>
      <c r="G94" s="2">
        <v>0.19400000000000001</v>
      </c>
      <c r="H94" s="2">
        <v>91.1</v>
      </c>
      <c r="I94">
        <f t="shared" si="6"/>
        <v>0</v>
      </c>
      <c r="J94" s="2">
        <v>14</v>
      </c>
      <c r="K94" s="2">
        <v>91.1</v>
      </c>
      <c r="L94" s="2">
        <v>2.92</v>
      </c>
      <c r="M94" s="2">
        <v>0</v>
      </c>
      <c r="N94" s="2">
        <v>4.5999999999999996</v>
      </c>
      <c r="O94" s="2">
        <v>585937.48</v>
      </c>
      <c r="P94" s="2">
        <v>82624.2</v>
      </c>
      <c r="Q94">
        <f t="shared" si="7"/>
        <v>0</v>
      </c>
      <c r="R94">
        <f t="shared" si="8"/>
        <v>0</v>
      </c>
      <c r="S94">
        <f t="shared" si="9"/>
        <v>0</v>
      </c>
      <c r="T94">
        <f t="shared" si="10"/>
        <v>0</v>
      </c>
      <c r="U94">
        <f t="shared" si="11"/>
        <v>0</v>
      </c>
    </row>
    <row r="95" spans="1:21" ht="40.5" customHeight="1">
      <c r="A95" s="2" t="s">
        <v>45</v>
      </c>
      <c r="B95" s="3">
        <v>45689</v>
      </c>
      <c r="C95" s="2" t="s">
        <v>27</v>
      </c>
      <c r="D95" s="2" t="s">
        <v>16</v>
      </c>
      <c r="E95" s="2">
        <v>67439.3</v>
      </c>
      <c r="F95" s="2">
        <v>6477</v>
      </c>
      <c r="G95" s="2">
        <v>0</v>
      </c>
      <c r="H95" s="2">
        <v>90.9</v>
      </c>
      <c r="I95">
        <f t="shared" si="6"/>
        <v>0</v>
      </c>
      <c r="J95" s="2">
        <v>16</v>
      </c>
      <c r="K95" s="2">
        <v>90.9</v>
      </c>
      <c r="L95" s="2">
        <v>1.64</v>
      </c>
      <c r="M95" s="2">
        <v>0</v>
      </c>
      <c r="N95" s="2">
        <v>4.5</v>
      </c>
      <c r="O95" s="2">
        <v>753473.55</v>
      </c>
      <c r="P95" s="2">
        <v>151527.22</v>
      </c>
      <c r="Q95">
        <f t="shared" si="7"/>
        <v>0</v>
      </c>
      <c r="R95">
        <f t="shared" si="8"/>
        <v>0</v>
      </c>
      <c r="S95">
        <f t="shared" si="9"/>
        <v>0</v>
      </c>
      <c r="T95">
        <f t="shared" si="10"/>
        <v>0</v>
      </c>
      <c r="U95">
        <f t="shared" si="11"/>
        <v>0</v>
      </c>
    </row>
    <row r="96" spans="1:21" ht="40.5" customHeight="1">
      <c r="A96" s="2" t="s">
        <v>45</v>
      </c>
      <c r="B96" s="3">
        <v>45717</v>
      </c>
      <c r="C96" s="2" t="s">
        <v>27</v>
      </c>
      <c r="D96" s="2" t="s">
        <v>16</v>
      </c>
      <c r="E96" s="2">
        <v>86421.88</v>
      </c>
      <c r="F96" s="2">
        <v>7970</v>
      </c>
      <c r="G96" s="2">
        <v>7.2999999999999995E-2</v>
      </c>
      <c r="H96" s="2">
        <v>91.3</v>
      </c>
      <c r="I96">
        <f t="shared" si="6"/>
        <v>0</v>
      </c>
      <c r="J96" s="2">
        <v>17</v>
      </c>
      <c r="K96" s="2">
        <v>91.3</v>
      </c>
      <c r="L96" s="2">
        <v>0.8</v>
      </c>
      <c r="M96" s="2">
        <v>0</v>
      </c>
      <c r="N96" s="2">
        <v>5</v>
      </c>
      <c r="O96" s="2">
        <v>838250.32</v>
      </c>
      <c r="P96" s="2">
        <v>122939.34</v>
      </c>
      <c r="Q96">
        <f t="shared" si="7"/>
        <v>0</v>
      </c>
      <c r="R96">
        <f t="shared" si="8"/>
        <v>0</v>
      </c>
      <c r="S96">
        <f t="shared" si="9"/>
        <v>0</v>
      </c>
      <c r="T96">
        <f t="shared" si="10"/>
        <v>0</v>
      </c>
      <c r="U96">
        <f t="shared" si="11"/>
        <v>0</v>
      </c>
    </row>
    <row r="97" spans="1:21" ht="40.5" customHeight="1">
      <c r="A97" s="2" t="s">
        <v>45</v>
      </c>
      <c r="B97" s="3">
        <v>45748</v>
      </c>
      <c r="C97" s="2" t="s">
        <v>27</v>
      </c>
      <c r="D97" s="2" t="s">
        <v>16</v>
      </c>
      <c r="E97" s="2">
        <v>9534.65</v>
      </c>
      <c r="F97" s="2">
        <v>6057</v>
      </c>
      <c r="G97" s="2">
        <v>7.3999999999999996E-2</v>
      </c>
      <c r="H97" s="2">
        <v>94.1</v>
      </c>
      <c r="I97">
        <f t="shared" si="6"/>
        <v>0</v>
      </c>
      <c r="J97" s="2">
        <v>15</v>
      </c>
      <c r="K97" s="2">
        <v>94.1</v>
      </c>
      <c r="L97" s="2">
        <v>5.79</v>
      </c>
      <c r="M97" s="2">
        <v>0</v>
      </c>
      <c r="N97" s="2">
        <v>4.5</v>
      </c>
      <c r="O97" s="2">
        <v>607898.12</v>
      </c>
      <c r="P97" s="2">
        <v>135404.85</v>
      </c>
      <c r="Q97">
        <f t="shared" si="7"/>
        <v>0</v>
      </c>
      <c r="R97">
        <f t="shared" si="8"/>
        <v>0</v>
      </c>
      <c r="S97">
        <f t="shared" si="9"/>
        <v>0</v>
      </c>
      <c r="T97">
        <f t="shared" si="10"/>
        <v>0</v>
      </c>
      <c r="U97">
        <f t="shared" si="11"/>
        <v>0</v>
      </c>
    </row>
    <row r="98" spans="1:21" ht="40.5" customHeight="1">
      <c r="A98" s="2" t="s">
        <v>46</v>
      </c>
      <c r="B98" s="3">
        <v>45658</v>
      </c>
      <c r="C98" s="2" t="s">
        <v>27</v>
      </c>
      <c r="D98" s="2" t="s">
        <v>28</v>
      </c>
      <c r="E98" s="2">
        <v>61132.07</v>
      </c>
      <c r="F98" s="2">
        <v>6394</v>
      </c>
      <c r="G98" s="2">
        <v>0.16300000000000001</v>
      </c>
      <c r="H98" s="2">
        <v>91</v>
      </c>
      <c r="I98">
        <f t="shared" si="6"/>
        <v>0</v>
      </c>
      <c r="J98" s="2">
        <v>19</v>
      </c>
      <c r="K98" s="2">
        <v>91</v>
      </c>
      <c r="L98" s="2">
        <v>19.600000000000001</v>
      </c>
      <c r="M98" s="2">
        <v>0</v>
      </c>
      <c r="N98" s="2">
        <v>4.4000000000000004</v>
      </c>
      <c r="O98" s="2">
        <v>691113.62</v>
      </c>
      <c r="P98" s="2">
        <v>135145.44</v>
      </c>
      <c r="Q98">
        <f t="shared" si="7"/>
        <v>0</v>
      </c>
      <c r="R98">
        <f t="shared" si="8"/>
        <v>0</v>
      </c>
      <c r="S98">
        <f t="shared" si="9"/>
        <v>0</v>
      </c>
      <c r="T98">
        <f t="shared" si="10"/>
        <v>0</v>
      </c>
      <c r="U98">
        <f t="shared" si="11"/>
        <v>1</v>
      </c>
    </row>
    <row r="99" spans="1:21" ht="40.5" customHeight="1">
      <c r="A99" s="2" t="s">
        <v>46</v>
      </c>
      <c r="B99" s="3">
        <v>45689</v>
      </c>
      <c r="C99" s="2" t="s">
        <v>27</v>
      </c>
      <c r="D99" s="2" t="s">
        <v>28</v>
      </c>
      <c r="E99" s="2">
        <v>78839.39</v>
      </c>
      <c r="F99" s="2">
        <v>5150</v>
      </c>
      <c r="G99" s="2">
        <v>0.17100000000000001</v>
      </c>
      <c r="H99" s="2">
        <v>85.8</v>
      </c>
      <c r="I99">
        <f t="shared" si="6"/>
        <v>0</v>
      </c>
      <c r="J99" s="2">
        <v>13</v>
      </c>
      <c r="K99" s="2">
        <v>85.8</v>
      </c>
      <c r="L99" s="2">
        <v>7.57</v>
      </c>
      <c r="M99" s="2">
        <v>0</v>
      </c>
      <c r="N99" s="2">
        <v>4.3</v>
      </c>
      <c r="O99" s="2">
        <v>735509.4</v>
      </c>
      <c r="P99" s="2">
        <v>83895.96</v>
      </c>
      <c r="Q99">
        <f t="shared" si="7"/>
        <v>0</v>
      </c>
      <c r="R99">
        <f t="shared" si="8"/>
        <v>0</v>
      </c>
      <c r="S99">
        <f t="shared" si="9"/>
        <v>0</v>
      </c>
      <c r="T99">
        <f t="shared" si="10"/>
        <v>0</v>
      </c>
      <c r="U99">
        <f t="shared" si="11"/>
        <v>1</v>
      </c>
    </row>
    <row r="100" spans="1:21" ht="40.5" customHeight="1">
      <c r="A100" s="2" t="s">
        <v>46</v>
      </c>
      <c r="B100" s="3">
        <v>45717</v>
      </c>
      <c r="C100" s="2" t="s">
        <v>27</v>
      </c>
      <c r="D100" s="2" t="s">
        <v>28</v>
      </c>
      <c r="E100" s="2">
        <v>38752.800000000003</v>
      </c>
      <c r="F100" s="2">
        <v>4712</v>
      </c>
      <c r="G100" s="2">
        <v>7.4999999999999997E-2</v>
      </c>
      <c r="H100" s="2">
        <v>89.7</v>
      </c>
      <c r="I100">
        <f t="shared" si="6"/>
        <v>0</v>
      </c>
      <c r="J100" s="2">
        <v>15</v>
      </c>
      <c r="K100" s="2">
        <v>89.7</v>
      </c>
      <c r="L100" s="2"/>
      <c r="M100" s="2">
        <v>0</v>
      </c>
      <c r="N100" s="2">
        <v>4.3</v>
      </c>
      <c r="O100" s="2">
        <v>605775.32999999996</v>
      </c>
      <c r="P100" s="2">
        <v>107194.6</v>
      </c>
      <c r="Q100">
        <f t="shared" si="7"/>
        <v>0</v>
      </c>
      <c r="R100">
        <f t="shared" si="8"/>
        <v>0</v>
      </c>
      <c r="S100">
        <f t="shared" si="9"/>
        <v>0</v>
      </c>
      <c r="T100">
        <f t="shared" si="10"/>
        <v>0</v>
      </c>
      <c r="U100">
        <f t="shared" si="11"/>
        <v>1</v>
      </c>
    </row>
    <row r="101" spans="1:21" ht="40.5" customHeight="1">
      <c r="A101" s="2" t="s">
        <v>46</v>
      </c>
      <c r="B101" s="3">
        <v>45748</v>
      </c>
      <c r="C101" s="2" t="s">
        <v>27</v>
      </c>
      <c r="D101" s="2" t="s">
        <v>28</v>
      </c>
      <c r="E101" s="2">
        <v>55101.1</v>
      </c>
      <c r="F101" s="2">
        <v>5281</v>
      </c>
      <c r="G101" s="2">
        <v>0.189</v>
      </c>
      <c r="H101" s="2">
        <v>91</v>
      </c>
      <c r="I101">
        <f t="shared" si="6"/>
        <v>0</v>
      </c>
      <c r="J101" s="2">
        <v>11</v>
      </c>
      <c r="K101" s="2">
        <v>91</v>
      </c>
      <c r="L101" s="2">
        <v>2.7</v>
      </c>
      <c r="M101" s="2">
        <v>0</v>
      </c>
      <c r="N101" s="2">
        <v>4.4000000000000004</v>
      </c>
      <c r="O101" s="2">
        <v>675177.68</v>
      </c>
      <c r="P101" s="2">
        <v>105628.68</v>
      </c>
      <c r="Q101">
        <f t="shared" si="7"/>
        <v>0</v>
      </c>
      <c r="R101">
        <f t="shared" si="8"/>
        <v>0</v>
      </c>
      <c r="S101">
        <f t="shared" si="9"/>
        <v>0</v>
      </c>
      <c r="T101">
        <f t="shared" si="10"/>
        <v>0</v>
      </c>
      <c r="U101">
        <f t="shared" si="11"/>
        <v>1</v>
      </c>
    </row>
    <row r="102" spans="1:21" ht="40.5" customHeight="1">
      <c r="A102" s="2" t="s">
        <v>47</v>
      </c>
      <c r="B102" s="3">
        <v>45658</v>
      </c>
      <c r="C102" s="2" t="s">
        <v>15</v>
      </c>
      <c r="D102" s="2" t="s">
        <v>28</v>
      </c>
      <c r="E102" s="2">
        <v>53084.76</v>
      </c>
      <c r="F102" s="2">
        <v>3642</v>
      </c>
      <c r="G102" s="2">
        <v>0.15</v>
      </c>
      <c r="H102" s="2">
        <v>91.4</v>
      </c>
      <c r="I102">
        <f t="shared" si="6"/>
        <v>0</v>
      </c>
      <c r="J102" s="2">
        <v>12</v>
      </c>
      <c r="K102" s="2">
        <v>91.4</v>
      </c>
      <c r="L102" s="2">
        <v>0.2</v>
      </c>
      <c r="M102" s="2">
        <v>0</v>
      </c>
      <c r="N102" s="2">
        <v>4.4000000000000004</v>
      </c>
      <c r="O102" s="2">
        <v>635181.35</v>
      </c>
      <c r="P102" s="2">
        <v>83341.25</v>
      </c>
      <c r="Q102">
        <f t="shared" si="7"/>
        <v>1</v>
      </c>
      <c r="R102">
        <f t="shared" si="8"/>
        <v>0</v>
      </c>
      <c r="S102">
        <f t="shared" si="9"/>
        <v>0</v>
      </c>
      <c r="T102">
        <f t="shared" si="10"/>
        <v>0</v>
      </c>
      <c r="U102">
        <f t="shared" si="11"/>
        <v>1</v>
      </c>
    </row>
    <row r="103" spans="1:21" ht="40.5" customHeight="1">
      <c r="A103" s="2" t="s">
        <v>47</v>
      </c>
      <c r="B103" s="3">
        <v>45689</v>
      </c>
      <c r="C103" s="2" t="s">
        <v>15</v>
      </c>
      <c r="D103" s="2" t="s">
        <v>28</v>
      </c>
      <c r="E103" s="2">
        <v>63101.59</v>
      </c>
      <c r="F103" s="2">
        <v>4373</v>
      </c>
      <c r="G103" s="2">
        <v>0.17299999999999999</v>
      </c>
      <c r="H103" s="2">
        <v>90.4</v>
      </c>
      <c r="I103">
        <f t="shared" si="6"/>
        <v>0</v>
      </c>
      <c r="J103" s="2">
        <v>14</v>
      </c>
      <c r="K103" s="2">
        <v>90.4</v>
      </c>
      <c r="L103" s="2">
        <v>7.87</v>
      </c>
      <c r="M103" s="2">
        <v>0</v>
      </c>
      <c r="N103" s="2">
        <v>4.7</v>
      </c>
      <c r="O103" s="2">
        <v>586626.93999999994</v>
      </c>
      <c r="P103" s="2">
        <v>86498.55</v>
      </c>
      <c r="Q103">
        <f t="shared" si="7"/>
        <v>1</v>
      </c>
      <c r="R103">
        <f t="shared" si="8"/>
        <v>0</v>
      </c>
      <c r="S103">
        <f t="shared" si="9"/>
        <v>0</v>
      </c>
      <c r="T103">
        <f t="shared" si="10"/>
        <v>0</v>
      </c>
      <c r="U103">
        <f t="shared" si="11"/>
        <v>1</v>
      </c>
    </row>
    <row r="104" spans="1:21" ht="40.5" customHeight="1">
      <c r="A104" s="2" t="s">
        <v>47</v>
      </c>
      <c r="B104" s="3">
        <v>45717</v>
      </c>
      <c r="C104" s="2" t="s">
        <v>15</v>
      </c>
      <c r="D104" s="2" t="s">
        <v>28</v>
      </c>
      <c r="E104" s="2">
        <v>90084.4</v>
      </c>
      <c r="F104" s="2">
        <v>6832</v>
      </c>
      <c r="G104" s="2">
        <v>0.185</v>
      </c>
      <c r="H104" s="2">
        <v>80.5</v>
      </c>
      <c r="I104">
        <f t="shared" si="6"/>
        <v>0</v>
      </c>
      <c r="J104" s="2">
        <v>14</v>
      </c>
      <c r="K104" s="2">
        <v>80.5</v>
      </c>
      <c r="L104" s="2">
        <v>0.77</v>
      </c>
      <c r="M104" s="2">
        <v>1</v>
      </c>
      <c r="N104" s="2">
        <v>4.4000000000000004</v>
      </c>
      <c r="O104" s="2">
        <v>740102.64</v>
      </c>
      <c r="P104" s="2">
        <v>114299.07</v>
      </c>
      <c r="Q104">
        <f t="shared" si="7"/>
        <v>1</v>
      </c>
      <c r="R104">
        <f t="shared" si="8"/>
        <v>0</v>
      </c>
      <c r="S104">
        <f t="shared" si="9"/>
        <v>0</v>
      </c>
      <c r="T104">
        <f t="shared" si="10"/>
        <v>0</v>
      </c>
      <c r="U104">
        <f t="shared" si="11"/>
        <v>1</v>
      </c>
    </row>
    <row r="105" spans="1:21" ht="40.5" customHeight="1">
      <c r="A105" s="2" t="s">
        <v>47</v>
      </c>
      <c r="B105" s="3">
        <v>45748</v>
      </c>
      <c r="C105" s="2" t="s">
        <v>15</v>
      </c>
      <c r="D105" s="2" t="s">
        <v>28</v>
      </c>
      <c r="E105" s="2">
        <v>32266.639999999999</v>
      </c>
      <c r="F105" s="2">
        <v>2414</v>
      </c>
      <c r="G105" s="2">
        <v>0.08</v>
      </c>
      <c r="H105" s="2">
        <v>92.1</v>
      </c>
      <c r="I105">
        <f t="shared" si="6"/>
        <v>0</v>
      </c>
      <c r="J105" s="2">
        <v>7</v>
      </c>
      <c r="K105" s="2">
        <v>92.1</v>
      </c>
      <c r="L105" s="2">
        <v>1.48</v>
      </c>
      <c r="M105" s="2">
        <v>0</v>
      </c>
      <c r="N105" s="2">
        <v>5</v>
      </c>
      <c r="O105" s="2">
        <v>625514.04</v>
      </c>
      <c r="P105" s="2">
        <v>120685.08</v>
      </c>
      <c r="Q105">
        <f t="shared" si="7"/>
        <v>1</v>
      </c>
      <c r="R105">
        <f t="shared" si="8"/>
        <v>0</v>
      </c>
      <c r="S105">
        <f t="shared" si="9"/>
        <v>0</v>
      </c>
      <c r="T105">
        <f t="shared" si="10"/>
        <v>0</v>
      </c>
      <c r="U105">
        <f t="shared" si="11"/>
        <v>1</v>
      </c>
    </row>
    <row r="106" spans="1:21" ht="40.5" customHeight="1">
      <c r="A106" s="2" t="s">
        <v>48</v>
      </c>
      <c r="B106" s="3">
        <v>45658</v>
      </c>
      <c r="C106" s="2" t="s">
        <v>27</v>
      </c>
      <c r="D106" s="2" t="s">
        <v>18</v>
      </c>
      <c r="E106" s="2">
        <v>57919.07</v>
      </c>
      <c r="F106" s="2">
        <v>7374</v>
      </c>
      <c r="G106" s="2">
        <v>0.10299999999999999</v>
      </c>
      <c r="H106" s="2">
        <v>82.3</v>
      </c>
      <c r="I106">
        <f t="shared" si="6"/>
        <v>0</v>
      </c>
      <c r="J106" s="2">
        <v>21</v>
      </c>
      <c r="K106" s="2">
        <v>82.3</v>
      </c>
      <c r="L106" s="2">
        <v>2.87</v>
      </c>
      <c r="M106" s="2">
        <v>0</v>
      </c>
      <c r="N106" s="2">
        <v>2.9</v>
      </c>
      <c r="O106" s="2">
        <v>727227.2</v>
      </c>
      <c r="P106" s="2">
        <v>121292.01</v>
      </c>
      <c r="Q106">
        <f t="shared" si="7"/>
        <v>0</v>
      </c>
      <c r="R106">
        <f t="shared" si="8"/>
        <v>0</v>
      </c>
      <c r="S106">
        <f t="shared" si="9"/>
        <v>0</v>
      </c>
      <c r="T106">
        <f t="shared" si="10"/>
        <v>1</v>
      </c>
      <c r="U106">
        <f t="shared" si="11"/>
        <v>0</v>
      </c>
    </row>
    <row r="107" spans="1:21" ht="40.5" customHeight="1">
      <c r="A107" s="2" t="s">
        <v>48</v>
      </c>
      <c r="B107" s="3">
        <v>45689</v>
      </c>
      <c r="C107" s="2" t="s">
        <v>27</v>
      </c>
      <c r="D107" s="2" t="s">
        <v>18</v>
      </c>
      <c r="E107" s="2">
        <v>74679.350000000006</v>
      </c>
      <c r="F107" s="2">
        <v>8739</v>
      </c>
      <c r="G107" s="2">
        <v>5.6000000000000001E-2</v>
      </c>
      <c r="H107" s="2">
        <v>91.8</v>
      </c>
      <c r="I107">
        <f t="shared" si="6"/>
        <v>0</v>
      </c>
      <c r="J107" s="2">
        <v>21</v>
      </c>
      <c r="K107" s="2">
        <v>91.8</v>
      </c>
      <c r="L107" s="2">
        <v>2.83</v>
      </c>
      <c r="M107" s="2">
        <v>0</v>
      </c>
      <c r="N107" s="2">
        <v>3</v>
      </c>
      <c r="O107" s="2">
        <v>783797.89</v>
      </c>
      <c r="P107" s="2">
        <v>157620.70000000001</v>
      </c>
      <c r="Q107">
        <f t="shared" si="7"/>
        <v>0</v>
      </c>
      <c r="R107">
        <f t="shared" si="8"/>
        <v>0</v>
      </c>
      <c r="S107">
        <f t="shared" si="9"/>
        <v>0</v>
      </c>
      <c r="T107">
        <f t="shared" si="10"/>
        <v>1</v>
      </c>
      <c r="U107">
        <f t="shared" si="11"/>
        <v>0</v>
      </c>
    </row>
    <row r="108" spans="1:21" ht="40.5" customHeight="1">
      <c r="A108" s="2" t="s">
        <v>48</v>
      </c>
      <c r="B108" s="3">
        <v>45717</v>
      </c>
      <c r="C108" s="2" t="s">
        <v>27</v>
      </c>
      <c r="D108" s="2" t="s">
        <v>18</v>
      </c>
      <c r="E108" s="2">
        <v>64294.23</v>
      </c>
      <c r="F108" s="2">
        <v>6992</v>
      </c>
      <c r="G108" s="2">
        <v>0.13300000000000001</v>
      </c>
      <c r="H108" s="2">
        <v>94.1</v>
      </c>
      <c r="I108">
        <f t="shared" si="6"/>
        <v>0</v>
      </c>
      <c r="J108" s="2">
        <v>14</v>
      </c>
      <c r="K108" s="2">
        <v>94.1</v>
      </c>
      <c r="L108" s="2">
        <v>0.25</v>
      </c>
      <c r="M108" s="2">
        <v>0</v>
      </c>
      <c r="N108" s="2">
        <v>3</v>
      </c>
      <c r="O108" s="2">
        <v>795153.84</v>
      </c>
      <c r="P108" s="2">
        <v>143194.21</v>
      </c>
      <c r="Q108">
        <f t="shared" si="7"/>
        <v>0</v>
      </c>
      <c r="R108">
        <f t="shared" si="8"/>
        <v>0</v>
      </c>
      <c r="S108">
        <f t="shared" si="9"/>
        <v>0</v>
      </c>
      <c r="T108">
        <f t="shared" si="10"/>
        <v>1</v>
      </c>
      <c r="U108">
        <f t="shared" si="11"/>
        <v>0</v>
      </c>
    </row>
    <row r="109" spans="1:21" ht="40.5" customHeight="1">
      <c r="A109" s="2" t="s">
        <v>48</v>
      </c>
      <c r="B109" s="3">
        <v>45748</v>
      </c>
      <c r="C109" s="2" t="s">
        <v>27</v>
      </c>
      <c r="D109" s="2" t="s">
        <v>18</v>
      </c>
      <c r="E109" s="2">
        <v>31042.03</v>
      </c>
      <c r="F109" s="2">
        <v>7107</v>
      </c>
      <c r="G109" s="2">
        <v>5.0999999999999997E-2</v>
      </c>
      <c r="H109" s="2">
        <v>87</v>
      </c>
      <c r="I109">
        <f t="shared" si="6"/>
        <v>0</v>
      </c>
      <c r="J109" s="2">
        <v>15</v>
      </c>
      <c r="K109" s="2">
        <v>87</v>
      </c>
      <c r="L109" s="2">
        <v>13.33</v>
      </c>
      <c r="M109" s="2">
        <v>0</v>
      </c>
      <c r="N109" s="2">
        <v>3.2</v>
      </c>
      <c r="O109" s="2">
        <v>665594.93999999994</v>
      </c>
      <c r="P109" s="2">
        <v>127597.34</v>
      </c>
      <c r="Q109">
        <f t="shared" si="7"/>
        <v>0</v>
      </c>
      <c r="R109">
        <f t="shared" si="8"/>
        <v>0</v>
      </c>
      <c r="S109">
        <f t="shared" si="9"/>
        <v>0</v>
      </c>
      <c r="T109">
        <f t="shared" si="10"/>
        <v>1</v>
      </c>
      <c r="U109">
        <f t="shared" si="11"/>
        <v>0</v>
      </c>
    </row>
    <row r="110" spans="1:21" ht="40.5" customHeight="1">
      <c r="A110" s="2" t="s">
        <v>49</v>
      </c>
      <c r="B110" s="3">
        <v>45658</v>
      </c>
      <c r="C110" s="2" t="s">
        <v>15</v>
      </c>
      <c r="D110" s="2" t="s">
        <v>28</v>
      </c>
      <c r="E110" s="2">
        <v>75265.02</v>
      </c>
      <c r="F110" s="2">
        <v>6975</v>
      </c>
      <c r="G110" s="2">
        <v>0.157</v>
      </c>
      <c r="H110" s="2">
        <v>73.8</v>
      </c>
      <c r="I110">
        <f t="shared" si="6"/>
        <v>0</v>
      </c>
      <c r="J110" s="2">
        <v>20</v>
      </c>
      <c r="K110" s="2">
        <v>73.8</v>
      </c>
      <c r="L110" s="2">
        <v>6.35</v>
      </c>
      <c r="M110" s="2">
        <v>1</v>
      </c>
      <c r="N110" s="2">
        <v>3.8</v>
      </c>
      <c r="O110" s="2">
        <v>709478.39</v>
      </c>
      <c r="P110" s="2">
        <v>71294.27</v>
      </c>
      <c r="Q110">
        <f t="shared" si="7"/>
        <v>1</v>
      </c>
      <c r="R110">
        <f t="shared" si="8"/>
        <v>0</v>
      </c>
      <c r="S110">
        <f t="shared" si="9"/>
        <v>0</v>
      </c>
      <c r="T110">
        <f t="shared" si="10"/>
        <v>0</v>
      </c>
      <c r="U110">
        <f t="shared" si="11"/>
        <v>1</v>
      </c>
    </row>
    <row r="111" spans="1:21" ht="40.5" customHeight="1">
      <c r="A111" s="2" t="s">
        <v>49</v>
      </c>
      <c r="B111" s="3">
        <v>45689</v>
      </c>
      <c r="C111" s="2" t="s">
        <v>15</v>
      </c>
      <c r="D111" s="2" t="s">
        <v>28</v>
      </c>
      <c r="E111" s="2">
        <v>69411.7</v>
      </c>
      <c r="F111" s="2">
        <v>5493</v>
      </c>
      <c r="G111" s="2">
        <v>0.29199999999999998</v>
      </c>
      <c r="H111" s="2">
        <v>86.5</v>
      </c>
      <c r="I111">
        <f t="shared" si="6"/>
        <v>0</v>
      </c>
      <c r="J111" s="2">
        <v>13</v>
      </c>
      <c r="K111" s="2">
        <v>86.5</v>
      </c>
      <c r="L111" s="2">
        <v>6.69</v>
      </c>
      <c r="M111" s="2">
        <v>0</v>
      </c>
      <c r="N111" s="2">
        <v>3.8</v>
      </c>
      <c r="O111" s="2">
        <v>664162.49</v>
      </c>
      <c r="P111" s="2">
        <v>98291.06</v>
      </c>
      <c r="Q111">
        <f t="shared" si="7"/>
        <v>1</v>
      </c>
      <c r="R111">
        <f t="shared" si="8"/>
        <v>0</v>
      </c>
      <c r="S111">
        <f t="shared" si="9"/>
        <v>0</v>
      </c>
      <c r="T111">
        <f t="shared" si="10"/>
        <v>0</v>
      </c>
      <c r="U111">
        <f t="shared" si="11"/>
        <v>1</v>
      </c>
    </row>
    <row r="112" spans="1:21" ht="40.5" customHeight="1">
      <c r="A112" s="2" t="s">
        <v>49</v>
      </c>
      <c r="B112" s="3">
        <v>45717</v>
      </c>
      <c r="C112" s="2" t="s">
        <v>15</v>
      </c>
      <c r="D112" s="2" t="s">
        <v>28</v>
      </c>
      <c r="E112" s="2">
        <v>51056.15</v>
      </c>
      <c r="F112" s="2">
        <v>5686</v>
      </c>
      <c r="G112" s="2">
        <v>8.8999999999999996E-2</v>
      </c>
      <c r="H112" s="2">
        <v>89.9</v>
      </c>
      <c r="I112">
        <f t="shared" si="6"/>
        <v>0</v>
      </c>
      <c r="J112" s="2">
        <v>13</v>
      </c>
      <c r="K112" s="2">
        <v>89.9</v>
      </c>
      <c r="L112" s="2">
        <v>1.28</v>
      </c>
      <c r="M112" s="2">
        <v>0</v>
      </c>
      <c r="N112" s="2">
        <v>4.2</v>
      </c>
      <c r="O112" s="2">
        <v>633494.21</v>
      </c>
      <c r="P112" s="2">
        <v>105739.47</v>
      </c>
      <c r="Q112">
        <f t="shared" si="7"/>
        <v>1</v>
      </c>
      <c r="R112">
        <f t="shared" si="8"/>
        <v>0</v>
      </c>
      <c r="S112">
        <f t="shared" si="9"/>
        <v>0</v>
      </c>
      <c r="T112">
        <f t="shared" si="10"/>
        <v>0</v>
      </c>
      <c r="U112">
        <f t="shared" si="11"/>
        <v>1</v>
      </c>
    </row>
    <row r="113" spans="1:21" ht="40.5" customHeight="1">
      <c r="A113" s="2" t="s">
        <v>49</v>
      </c>
      <c r="B113" s="3">
        <v>45748</v>
      </c>
      <c r="C113" s="2" t="s">
        <v>15</v>
      </c>
      <c r="D113" s="2" t="s">
        <v>28</v>
      </c>
      <c r="E113" s="2">
        <v>52758.01</v>
      </c>
      <c r="F113" s="2">
        <v>4063</v>
      </c>
      <c r="G113" s="2">
        <v>5.7000000000000002E-2</v>
      </c>
      <c r="H113" s="2">
        <v>91.7</v>
      </c>
      <c r="I113">
        <f t="shared" si="6"/>
        <v>0</v>
      </c>
      <c r="J113" s="2">
        <v>12</v>
      </c>
      <c r="K113" s="2">
        <v>91.7</v>
      </c>
      <c r="L113" s="2">
        <v>0.92</v>
      </c>
      <c r="M113" s="2">
        <v>0</v>
      </c>
      <c r="N113" s="2">
        <v>3.5</v>
      </c>
      <c r="O113" s="2">
        <v>713611.16</v>
      </c>
      <c r="P113" s="2">
        <v>129717.18</v>
      </c>
      <c r="Q113">
        <f t="shared" si="7"/>
        <v>1</v>
      </c>
      <c r="R113">
        <f t="shared" si="8"/>
        <v>0</v>
      </c>
      <c r="S113">
        <f t="shared" si="9"/>
        <v>0</v>
      </c>
      <c r="T113">
        <f t="shared" si="10"/>
        <v>0</v>
      </c>
      <c r="U113">
        <f t="shared" si="11"/>
        <v>1</v>
      </c>
    </row>
    <row r="114" spans="1:21" ht="40.5" customHeight="1">
      <c r="A114" s="2" t="s">
        <v>50</v>
      </c>
      <c r="B114" s="3">
        <v>45658</v>
      </c>
      <c r="C114" s="2" t="s">
        <v>27</v>
      </c>
      <c r="D114" s="2" t="s">
        <v>28</v>
      </c>
      <c r="E114" s="2">
        <v>61426.04</v>
      </c>
      <c r="F114" s="2">
        <v>8966</v>
      </c>
      <c r="G114" s="2">
        <v>0.17299999999999999</v>
      </c>
      <c r="H114" s="2">
        <v>76.400000000000006</v>
      </c>
      <c r="I114">
        <f t="shared" si="6"/>
        <v>0</v>
      </c>
      <c r="J114" s="2">
        <v>22</v>
      </c>
      <c r="K114" s="2">
        <v>76.400000000000006</v>
      </c>
      <c r="L114" s="2">
        <v>1.05</v>
      </c>
      <c r="M114" s="2">
        <v>0</v>
      </c>
      <c r="N114" s="2">
        <v>3.1</v>
      </c>
      <c r="O114" s="2">
        <v>778397.97</v>
      </c>
      <c r="P114" s="2">
        <v>120044.41</v>
      </c>
      <c r="Q114">
        <f t="shared" si="7"/>
        <v>0</v>
      </c>
      <c r="R114">
        <f t="shared" si="8"/>
        <v>0</v>
      </c>
      <c r="S114">
        <f t="shared" si="9"/>
        <v>0</v>
      </c>
      <c r="T114">
        <f t="shared" si="10"/>
        <v>0</v>
      </c>
      <c r="U114">
        <f t="shared" si="11"/>
        <v>1</v>
      </c>
    </row>
    <row r="115" spans="1:21" ht="40.5" customHeight="1">
      <c r="A115" s="2" t="s">
        <v>50</v>
      </c>
      <c r="B115" s="3">
        <v>45689</v>
      </c>
      <c r="C115" s="2" t="s">
        <v>27</v>
      </c>
      <c r="D115" s="2" t="s">
        <v>28</v>
      </c>
      <c r="E115" s="2">
        <v>80176.34</v>
      </c>
      <c r="F115" s="2">
        <v>9489</v>
      </c>
      <c r="G115" s="2">
        <v>0.14199999999999999</v>
      </c>
      <c r="H115" s="2">
        <v>94.3</v>
      </c>
      <c r="I115">
        <f t="shared" si="6"/>
        <v>0</v>
      </c>
      <c r="J115" s="2">
        <v>22</v>
      </c>
      <c r="K115" s="2">
        <v>94.3</v>
      </c>
      <c r="L115" s="2">
        <v>2.67</v>
      </c>
      <c r="M115" s="2">
        <v>0</v>
      </c>
      <c r="N115" s="2">
        <v>3.5</v>
      </c>
      <c r="O115" s="2">
        <v>873380.02</v>
      </c>
      <c r="P115" s="2">
        <v>149734.76</v>
      </c>
      <c r="Q115">
        <f t="shared" si="7"/>
        <v>0</v>
      </c>
      <c r="R115">
        <f t="shared" si="8"/>
        <v>0</v>
      </c>
      <c r="S115">
        <f t="shared" si="9"/>
        <v>0</v>
      </c>
      <c r="T115">
        <f t="shared" si="10"/>
        <v>0</v>
      </c>
      <c r="U115">
        <f t="shared" si="11"/>
        <v>1</v>
      </c>
    </row>
    <row r="116" spans="1:21" ht="40.5" customHeight="1">
      <c r="A116" s="2" t="s">
        <v>50</v>
      </c>
      <c r="B116" s="3">
        <v>45717</v>
      </c>
      <c r="C116" s="2" t="s">
        <v>27</v>
      </c>
      <c r="D116" s="2" t="s">
        <v>28</v>
      </c>
      <c r="E116" s="2">
        <v>33605.18</v>
      </c>
      <c r="F116" s="2">
        <v>9225</v>
      </c>
      <c r="G116" s="2">
        <v>0.159</v>
      </c>
      <c r="H116" s="2">
        <v>88.4</v>
      </c>
      <c r="I116">
        <f t="shared" si="6"/>
        <v>0</v>
      </c>
      <c r="J116" s="2">
        <v>23</v>
      </c>
      <c r="K116" s="2">
        <v>88.4</v>
      </c>
      <c r="L116" s="2">
        <v>5.91</v>
      </c>
      <c r="M116" s="2">
        <v>0</v>
      </c>
      <c r="N116" s="2">
        <v>2.8</v>
      </c>
      <c r="O116" s="2">
        <v>697287.9</v>
      </c>
      <c r="P116" s="2">
        <v>128208.33</v>
      </c>
      <c r="Q116">
        <f t="shared" si="7"/>
        <v>0</v>
      </c>
      <c r="R116">
        <f t="shared" si="8"/>
        <v>0</v>
      </c>
      <c r="S116">
        <f t="shared" si="9"/>
        <v>0</v>
      </c>
      <c r="T116">
        <f t="shared" si="10"/>
        <v>0</v>
      </c>
      <c r="U116">
        <f t="shared" si="11"/>
        <v>1</v>
      </c>
    </row>
    <row r="117" spans="1:21" ht="40.5" customHeight="1">
      <c r="A117" s="2" t="s">
        <v>50</v>
      </c>
      <c r="B117" s="3">
        <v>45748</v>
      </c>
      <c r="C117" s="2" t="s">
        <v>27</v>
      </c>
      <c r="D117" s="2" t="s">
        <v>28</v>
      </c>
      <c r="E117" s="2">
        <v>25990.54</v>
      </c>
      <c r="F117" s="2">
        <v>9249</v>
      </c>
      <c r="G117" s="2">
        <v>0.13900000000000001</v>
      </c>
      <c r="H117" s="2">
        <v>92.5</v>
      </c>
      <c r="I117">
        <f t="shared" si="6"/>
        <v>0</v>
      </c>
      <c r="J117" s="2">
        <v>23</v>
      </c>
      <c r="K117" s="2">
        <v>92.5</v>
      </c>
      <c r="L117" s="2">
        <v>6.37</v>
      </c>
      <c r="M117" s="2">
        <v>0</v>
      </c>
      <c r="N117" s="2">
        <v>3.3</v>
      </c>
      <c r="O117" s="2">
        <v>718074.79</v>
      </c>
      <c r="P117" s="2">
        <v>115819.87</v>
      </c>
      <c r="Q117">
        <f t="shared" si="7"/>
        <v>0</v>
      </c>
      <c r="R117">
        <f t="shared" si="8"/>
        <v>0</v>
      </c>
      <c r="S117">
        <f t="shared" si="9"/>
        <v>0</v>
      </c>
      <c r="T117">
        <f t="shared" si="10"/>
        <v>0</v>
      </c>
      <c r="U117">
        <f t="shared" si="11"/>
        <v>1</v>
      </c>
    </row>
    <row r="118" spans="1:21" ht="40.5" customHeight="1">
      <c r="A118" s="2" t="s">
        <v>51</v>
      </c>
      <c r="B118" s="3">
        <v>45658</v>
      </c>
      <c r="C118" s="2" t="s">
        <v>27</v>
      </c>
      <c r="D118" s="2" t="s">
        <v>16</v>
      </c>
      <c r="E118" s="2">
        <v>43685.14</v>
      </c>
      <c r="F118" s="2">
        <v>7821</v>
      </c>
      <c r="G118" s="2">
        <v>0.19</v>
      </c>
      <c r="H118" s="2">
        <v>91</v>
      </c>
      <c r="I118">
        <f t="shared" si="6"/>
        <v>0</v>
      </c>
      <c r="J118" s="2">
        <v>17</v>
      </c>
      <c r="K118" s="2">
        <v>91</v>
      </c>
      <c r="L118" s="2">
        <v>2.4900000000000002</v>
      </c>
      <c r="M118" s="2">
        <v>1</v>
      </c>
      <c r="N118" s="2">
        <v>4.7</v>
      </c>
      <c r="O118" s="2">
        <v>714942.43</v>
      </c>
      <c r="P118" s="2">
        <v>94697.71</v>
      </c>
      <c r="Q118">
        <f t="shared" si="7"/>
        <v>0</v>
      </c>
      <c r="R118">
        <f t="shared" si="8"/>
        <v>0</v>
      </c>
      <c r="S118">
        <f t="shared" si="9"/>
        <v>0</v>
      </c>
      <c r="T118">
        <f t="shared" si="10"/>
        <v>0</v>
      </c>
      <c r="U118">
        <f t="shared" si="11"/>
        <v>0</v>
      </c>
    </row>
    <row r="119" spans="1:21" ht="40.5" customHeight="1">
      <c r="A119" s="2" t="s">
        <v>51</v>
      </c>
      <c r="B119" s="3">
        <v>45689</v>
      </c>
      <c r="C119" s="2" t="s">
        <v>27</v>
      </c>
      <c r="D119" s="2" t="s">
        <v>16</v>
      </c>
      <c r="E119" s="2">
        <v>57360.01</v>
      </c>
      <c r="F119" s="2">
        <v>8434</v>
      </c>
      <c r="G119" s="2">
        <v>0.151</v>
      </c>
      <c r="H119" s="2">
        <v>84.1</v>
      </c>
      <c r="I119">
        <f t="shared" si="6"/>
        <v>0</v>
      </c>
      <c r="J119" s="2">
        <v>19</v>
      </c>
      <c r="K119" s="2">
        <v>84.1</v>
      </c>
      <c r="L119" s="2">
        <v>1.56</v>
      </c>
      <c r="M119" s="2">
        <v>0</v>
      </c>
      <c r="N119" s="2">
        <v>4.7</v>
      </c>
      <c r="O119" s="2">
        <v>820519.04</v>
      </c>
      <c r="P119" s="2">
        <v>99035.88</v>
      </c>
      <c r="Q119">
        <f t="shared" si="7"/>
        <v>0</v>
      </c>
      <c r="R119">
        <f t="shared" si="8"/>
        <v>0</v>
      </c>
      <c r="S119">
        <f t="shared" si="9"/>
        <v>0</v>
      </c>
      <c r="T119">
        <f t="shared" si="10"/>
        <v>0</v>
      </c>
      <c r="U119">
        <f t="shared" si="11"/>
        <v>0</v>
      </c>
    </row>
    <row r="120" spans="1:21" ht="40.5" customHeight="1">
      <c r="A120" s="2" t="s">
        <v>51</v>
      </c>
      <c r="B120" s="3">
        <v>45717</v>
      </c>
      <c r="C120" s="2" t="s">
        <v>27</v>
      </c>
      <c r="D120" s="2" t="s">
        <v>16</v>
      </c>
      <c r="E120" s="2">
        <v>42415.47</v>
      </c>
      <c r="F120" s="2">
        <v>8512</v>
      </c>
      <c r="G120" s="2">
        <v>0.13300000000000001</v>
      </c>
      <c r="H120" s="2">
        <v>96.8</v>
      </c>
      <c r="I120">
        <f t="shared" si="6"/>
        <v>0</v>
      </c>
      <c r="J120" s="2">
        <v>18</v>
      </c>
      <c r="K120" s="2">
        <v>96.8</v>
      </c>
      <c r="L120" s="2">
        <v>14.95</v>
      </c>
      <c r="M120" s="2">
        <v>0</v>
      </c>
      <c r="N120" s="2">
        <v>4.5999999999999996</v>
      </c>
      <c r="O120" s="2">
        <v>684217.32</v>
      </c>
      <c r="P120" s="2">
        <v>136217.19</v>
      </c>
      <c r="Q120">
        <f t="shared" si="7"/>
        <v>0</v>
      </c>
      <c r="R120">
        <f t="shared" si="8"/>
        <v>0</v>
      </c>
      <c r="S120">
        <f t="shared" si="9"/>
        <v>0</v>
      </c>
      <c r="T120">
        <f t="shared" si="10"/>
        <v>0</v>
      </c>
      <c r="U120">
        <f t="shared" si="11"/>
        <v>0</v>
      </c>
    </row>
    <row r="121" spans="1:21" ht="40.5" customHeight="1">
      <c r="A121" s="2" t="s">
        <v>51</v>
      </c>
      <c r="B121" s="3">
        <v>45748</v>
      </c>
      <c r="C121" s="2" t="s">
        <v>27</v>
      </c>
      <c r="D121" s="2" t="s">
        <v>16</v>
      </c>
      <c r="E121" s="2">
        <v>54968.98</v>
      </c>
      <c r="F121" s="2">
        <v>7816</v>
      </c>
      <c r="G121" s="2">
        <v>0.23200000000000001</v>
      </c>
      <c r="H121" s="2">
        <v>95.7</v>
      </c>
      <c r="I121">
        <f t="shared" si="6"/>
        <v>0</v>
      </c>
      <c r="J121" s="2">
        <v>19</v>
      </c>
      <c r="K121" s="2">
        <v>95.7</v>
      </c>
      <c r="L121" s="2">
        <v>7.85</v>
      </c>
      <c r="M121" s="2">
        <v>0</v>
      </c>
      <c r="N121" s="2">
        <v>4.7</v>
      </c>
      <c r="O121" s="2">
        <v>735480.19</v>
      </c>
      <c r="P121" s="2">
        <v>88342.11</v>
      </c>
      <c r="Q121">
        <f t="shared" si="7"/>
        <v>0</v>
      </c>
      <c r="R121">
        <f t="shared" si="8"/>
        <v>0</v>
      </c>
      <c r="S121">
        <f t="shared" si="9"/>
        <v>0</v>
      </c>
      <c r="T121">
        <f t="shared" si="10"/>
        <v>0</v>
      </c>
      <c r="U121">
        <f t="shared" si="11"/>
        <v>0</v>
      </c>
    </row>
    <row r="122" spans="1:21" ht="40.5" customHeight="1">
      <c r="A122" s="2" t="s">
        <v>52</v>
      </c>
      <c r="B122" s="3">
        <v>45658</v>
      </c>
      <c r="C122" s="2" t="s">
        <v>20</v>
      </c>
      <c r="D122" s="2" t="s">
        <v>18</v>
      </c>
      <c r="E122" s="2">
        <v>43896.13</v>
      </c>
      <c r="F122" s="2">
        <v>3853</v>
      </c>
      <c r="G122" s="2">
        <v>8.7999999999999995E-2</v>
      </c>
      <c r="H122" s="2">
        <v>83</v>
      </c>
      <c r="I122">
        <f t="shared" si="6"/>
        <v>1</v>
      </c>
      <c r="J122" s="2">
        <v>13</v>
      </c>
      <c r="K122" s="2">
        <v>83</v>
      </c>
      <c r="L122" s="2">
        <v>6.8</v>
      </c>
      <c r="M122" s="2">
        <v>0</v>
      </c>
      <c r="N122" s="2">
        <v>4.4000000000000004</v>
      </c>
      <c r="O122" s="2">
        <v>509484.81</v>
      </c>
      <c r="P122" s="2">
        <v>85742.36</v>
      </c>
      <c r="Q122">
        <f t="shared" si="7"/>
        <v>0</v>
      </c>
      <c r="R122">
        <f t="shared" si="8"/>
        <v>0</v>
      </c>
      <c r="S122">
        <f t="shared" si="9"/>
        <v>0</v>
      </c>
      <c r="T122">
        <f t="shared" si="10"/>
        <v>1</v>
      </c>
      <c r="U122">
        <f t="shared" si="11"/>
        <v>0</v>
      </c>
    </row>
    <row r="123" spans="1:21" ht="40.5" customHeight="1">
      <c r="A123" s="2" t="s">
        <v>52</v>
      </c>
      <c r="B123" s="3">
        <v>45689</v>
      </c>
      <c r="C123" s="2" t="s">
        <v>20</v>
      </c>
      <c r="D123" s="2" t="s">
        <v>18</v>
      </c>
      <c r="E123" s="2">
        <v>83044.17</v>
      </c>
      <c r="F123" s="2">
        <v>3694</v>
      </c>
      <c r="G123" s="2">
        <v>0</v>
      </c>
      <c r="H123" s="2">
        <v>89.4</v>
      </c>
      <c r="I123">
        <f t="shared" si="6"/>
        <v>1</v>
      </c>
      <c r="J123" s="2">
        <v>14</v>
      </c>
      <c r="K123" s="2">
        <v>89.4</v>
      </c>
      <c r="L123" s="2">
        <v>2.2000000000000002</v>
      </c>
      <c r="M123" s="2">
        <v>0</v>
      </c>
      <c r="N123" s="2">
        <v>3.7</v>
      </c>
      <c r="O123" s="2">
        <v>654317.09</v>
      </c>
      <c r="P123" s="2">
        <v>121446.89</v>
      </c>
      <c r="Q123">
        <f t="shared" si="7"/>
        <v>0</v>
      </c>
      <c r="R123">
        <f t="shared" si="8"/>
        <v>0</v>
      </c>
      <c r="S123">
        <f t="shared" si="9"/>
        <v>0</v>
      </c>
      <c r="T123">
        <f t="shared" si="10"/>
        <v>1</v>
      </c>
      <c r="U123">
        <f t="shared" si="11"/>
        <v>0</v>
      </c>
    </row>
    <row r="124" spans="1:21" ht="40.5" customHeight="1">
      <c r="A124" s="2" t="s">
        <v>52</v>
      </c>
      <c r="B124" s="3">
        <v>45717</v>
      </c>
      <c r="C124" s="2" t="s">
        <v>20</v>
      </c>
      <c r="D124" s="2" t="s">
        <v>18</v>
      </c>
      <c r="E124" s="2">
        <v>48396.13</v>
      </c>
      <c r="F124" s="2">
        <v>4423</v>
      </c>
      <c r="G124" s="2">
        <v>6.9000000000000006E-2</v>
      </c>
      <c r="H124" s="2">
        <v>85.7</v>
      </c>
      <c r="I124">
        <f t="shared" si="6"/>
        <v>1</v>
      </c>
      <c r="J124" s="2">
        <v>15</v>
      </c>
      <c r="K124" s="2">
        <v>85.7</v>
      </c>
      <c r="L124" s="2">
        <v>1.88</v>
      </c>
      <c r="M124" s="2">
        <v>0</v>
      </c>
      <c r="N124" s="2">
        <v>3.9</v>
      </c>
      <c r="O124" s="2">
        <v>557487.26</v>
      </c>
      <c r="P124" s="2">
        <v>76432.19</v>
      </c>
      <c r="Q124">
        <f t="shared" si="7"/>
        <v>0</v>
      </c>
      <c r="R124">
        <f t="shared" si="8"/>
        <v>0</v>
      </c>
      <c r="S124">
        <f t="shared" si="9"/>
        <v>0</v>
      </c>
      <c r="T124">
        <f t="shared" si="10"/>
        <v>1</v>
      </c>
      <c r="U124">
        <f t="shared" si="11"/>
        <v>0</v>
      </c>
    </row>
    <row r="125" spans="1:21" ht="40.5" customHeight="1">
      <c r="A125" s="2" t="s">
        <v>52</v>
      </c>
      <c r="B125" s="3">
        <v>45748</v>
      </c>
      <c r="C125" s="2" t="s">
        <v>20</v>
      </c>
      <c r="D125" s="2" t="s">
        <v>18</v>
      </c>
      <c r="E125" s="2">
        <v>19063.48</v>
      </c>
      <c r="F125" s="2">
        <v>1906</v>
      </c>
      <c r="G125" s="2">
        <v>0.216</v>
      </c>
      <c r="H125" s="2">
        <v>97.8</v>
      </c>
      <c r="I125">
        <f t="shared" si="6"/>
        <v>1</v>
      </c>
      <c r="J125" s="2">
        <v>10</v>
      </c>
      <c r="K125" s="2">
        <v>97.8</v>
      </c>
      <c r="L125" s="2">
        <v>15.79</v>
      </c>
      <c r="M125" s="2">
        <v>0</v>
      </c>
      <c r="N125" s="2">
        <v>4.4000000000000004</v>
      </c>
      <c r="O125" s="2">
        <v>441275.42</v>
      </c>
      <c r="P125" s="2">
        <v>58234.87</v>
      </c>
      <c r="Q125">
        <f t="shared" si="7"/>
        <v>0</v>
      </c>
      <c r="R125">
        <f t="shared" si="8"/>
        <v>0</v>
      </c>
      <c r="S125">
        <f t="shared" si="9"/>
        <v>0</v>
      </c>
      <c r="T125">
        <f t="shared" si="10"/>
        <v>1</v>
      </c>
      <c r="U125">
        <f t="shared" si="11"/>
        <v>0</v>
      </c>
    </row>
    <row r="126" spans="1:21" ht="40.5" customHeight="1">
      <c r="A126" s="2" t="s">
        <v>53</v>
      </c>
      <c r="B126" s="3">
        <v>45658</v>
      </c>
      <c r="C126" s="2" t="s">
        <v>24</v>
      </c>
      <c r="D126" s="2" t="s">
        <v>18</v>
      </c>
      <c r="E126" s="2">
        <v>61541.21</v>
      </c>
      <c r="F126" s="2">
        <v>10396</v>
      </c>
      <c r="G126" s="2">
        <v>0.123</v>
      </c>
      <c r="H126" s="2">
        <v>88.1</v>
      </c>
      <c r="I126">
        <f t="shared" si="6"/>
        <v>0</v>
      </c>
      <c r="J126" s="2">
        <v>25</v>
      </c>
      <c r="K126" s="2">
        <v>88.1</v>
      </c>
      <c r="L126" s="2">
        <v>2.34</v>
      </c>
      <c r="M126" s="2">
        <v>1</v>
      </c>
      <c r="N126" s="2">
        <v>4.8</v>
      </c>
      <c r="O126" s="2">
        <v>914544.17</v>
      </c>
      <c r="P126" s="2">
        <v>79831.73</v>
      </c>
      <c r="Q126">
        <f t="shared" si="7"/>
        <v>0</v>
      </c>
      <c r="R126">
        <f t="shared" si="8"/>
        <v>1</v>
      </c>
      <c r="S126">
        <f t="shared" si="9"/>
        <v>0</v>
      </c>
      <c r="T126">
        <f t="shared" si="10"/>
        <v>1</v>
      </c>
      <c r="U126">
        <f t="shared" si="11"/>
        <v>0</v>
      </c>
    </row>
    <row r="127" spans="1:21" ht="40.5" customHeight="1">
      <c r="A127" s="2" t="s">
        <v>53</v>
      </c>
      <c r="B127" s="3">
        <v>45689</v>
      </c>
      <c r="C127" s="2" t="s">
        <v>24</v>
      </c>
      <c r="D127" s="2" t="s">
        <v>18</v>
      </c>
      <c r="E127" s="2">
        <v>44747</v>
      </c>
      <c r="F127" s="2">
        <v>11076</v>
      </c>
      <c r="G127" s="2">
        <v>0.17599999999999999</v>
      </c>
      <c r="H127" s="2">
        <v>98.3</v>
      </c>
      <c r="I127">
        <f t="shared" si="6"/>
        <v>0</v>
      </c>
      <c r="J127" s="2">
        <v>27</v>
      </c>
      <c r="K127" s="2">
        <v>98.3</v>
      </c>
      <c r="L127" s="2">
        <v>0.54</v>
      </c>
      <c r="M127" s="2">
        <v>0</v>
      </c>
      <c r="N127" s="2">
        <v>4.4000000000000004</v>
      </c>
      <c r="O127" s="2">
        <v>842439.67</v>
      </c>
      <c r="P127" s="2">
        <v>169983.63</v>
      </c>
      <c r="Q127">
        <f t="shared" si="7"/>
        <v>0</v>
      </c>
      <c r="R127">
        <f t="shared" si="8"/>
        <v>1</v>
      </c>
      <c r="S127">
        <f t="shared" si="9"/>
        <v>0</v>
      </c>
      <c r="T127">
        <f t="shared" si="10"/>
        <v>1</v>
      </c>
      <c r="U127">
        <f t="shared" si="11"/>
        <v>0</v>
      </c>
    </row>
    <row r="128" spans="1:21" ht="40.5" customHeight="1">
      <c r="A128" s="2" t="s">
        <v>53</v>
      </c>
      <c r="B128" s="3">
        <v>45717</v>
      </c>
      <c r="C128" s="2" t="s">
        <v>24</v>
      </c>
      <c r="D128" s="2" t="s">
        <v>18</v>
      </c>
      <c r="E128" s="2">
        <v>56517.9</v>
      </c>
      <c r="F128" s="2">
        <v>9574</v>
      </c>
      <c r="G128" s="2">
        <v>0.20399999999999999</v>
      </c>
      <c r="H128" s="2">
        <v>88.2</v>
      </c>
      <c r="I128">
        <f t="shared" si="6"/>
        <v>0</v>
      </c>
      <c r="J128" s="2">
        <v>20</v>
      </c>
      <c r="K128" s="2">
        <v>88.2</v>
      </c>
      <c r="L128" s="2">
        <v>5.37</v>
      </c>
      <c r="M128" s="2">
        <v>1</v>
      </c>
      <c r="N128" s="2">
        <v>4.9000000000000004</v>
      </c>
      <c r="O128" s="2">
        <v>842157.92</v>
      </c>
      <c r="P128" s="2">
        <v>107348.22</v>
      </c>
      <c r="Q128">
        <f t="shared" si="7"/>
        <v>0</v>
      </c>
      <c r="R128">
        <f t="shared" si="8"/>
        <v>1</v>
      </c>
      <c r="S128">
        <f t="shared" si="9"/>
        <v>0</v>
      </c>
      <c r="T128">
        <f t="shared" si="10"/>
        <v>1</v>
      </c>
      <c r="U128">
        <f t="shared" si="11"/>
        <v>0</v>
      </c>
    </row>
    <row r="129" spans="1:21" ht="40.5" customHeight="1">
      <c r="A129" s="2" t="s">
        <v>53</v>
      </c>
      <c r="B129" s="3">
        <v>45748</v>
      </c>
      <c r="C129" s="2" t="s">
        <v>24</v>
      </c>
      <c r="D129" s="2" t="s">
        <v>18</v>
      </c>
      <c r="E129" s="2">
        <v>37828.5</v>
      </c>
      <c r="F129" s="2">
        <v>8221</v>
      </c>
      <c r="G129" s="2">
        <v>9.6000000000000002E-2</v>
      </c>
      <c r="H129" s="2">
        <v>81.5</v>
      </c>
      <c r="I129">
        <f t="shared" si="6"/>
        <v>0</v>
      </c>
      <c r="J129" s="2">
        <v>19</v>
      </c>
      <c r="K129" s="2">
        <v>81.5</v>
      </c>
      <c r="L129" s="2">
        <v>3.19</v>
      </c>
      <c r="M129" s="2">
        <v>0</v>
      </c>
      <c r="N129" s="2">
        <v>4.8</v>
      </c>
      <c r="O129" s="2">
        <v>697155.3</v>
      </c>
      <c r="P129" s="2">
        <v>136408.54</v>
      </c>
      <c r="Q129">
        <f t="shared" si="7"/>
        <v>0</v>
      </c>
      <c r="R129">
        <f t="shared" si="8"/>
        <v>1</v>
      </c>
      <c r="S129">
        <f t="shared" si="9"/>
        <v>0</v>
      </c>
      <c r="T129">
        <f t="shared" si="10"/>
        <v>1</v>
      </c>
      <c r="U129">
        <f t="shared" si="11"/>
        <v>0</v>
      </c>
    </row>
    <row r="130" spans="1:21" ht="40.5" customHeight="1">
      <c r="A130" s="2" t="s">
        <v>54</v>
      </c>
      <c r="B130" s="3">
        <v>45658</v>
      </c>
      <c r="C130" s="2" t="s">
        <v>15</v>
      </c>
      <c r="D130" s="2" t="s">
        <v>18</v>
      </c>
      <c r="E130" s="2">
        <v>66250.53</v>
      </c>
      <c r="F130" s="2">
        <v>10618</v>
      </c>
      <c r="G130" s="2">
        <v>0.14199999999999999</v>
      </c>
      <c r="H130" s="2">
        <v>88.3</v>
      </c>
      <c r="I130">
        <f t="shared" ref="I130:I193" si="12">IF(C130="North",1,0)</f>
        <v>0</v>
      </c>
      <c r="J130" s="2">
        <v>27</v>
      </c>
      <c r="K130" s="2">
        <v>88.3</v>
      </c>
      <c r="L130" s="2">
        <v>1.1000000000000001</v>
      </c>
      <c r="M130" s="2">
        <v>1</v>
      </c>
      <c r="N130" s="2">
        <v>4.4000000000000004</v>
      </c>
      <c r="O130" s="2">
        <v>849018.3</v>
      </c>
      <c r="P130" s="2">
        <v>149035.13</v>
      </c>
      <c r="Q130">
        <f t="shared" si="7"/>
        <v>1</v>
      </c>
      <c r="R130">
        <f t="shared" si="8"/>
        <v>0</v>
      </c>
      <c r="S130">
        <f t="shared" si="9"/>
        <v>0</v>
      </c>
      <c r="T130">
        <f t="shared" si="10"/>
        <v>1</v>
      </c>
      <c r="U130">
        <f t="shared" si="11"/>
        <v>0</v>
      </c>
    </row>
    <row r="131" spans="1:21" ht="40.5" customHeight="1">
      <c r="A131" s="2" t="s">
        <v>54</v>
      </c>
      <c r="B131" s="3">
        <v>45689</v>
      </c>
      <c r="C131" s="2" t="s">
        <v>15</v>
      </c>
      <c r="D131" s="2" t="s">
        <v>18</v>
      </c>
      <c r="E131" s="2">
        <v>68410.929999999993</v>
      </c>
      <c r="F131" s="2">
        <v>10596</v>
      </c>
      <c r="G131" s="2">
        <v>0.20699999999999999</v>
      </c>
      <c r="H131" s="2">
        <v>81.2</v>
      </c>
      <c r="I131">
        <f t="shared" si="12"/>
        <v>0</v>
      </c>
      <c r="J131" s="2">
        <v>25</v>
      </c>
      <c r="K131" s="2">
        <v>81.2</v>
      </c>
      <c r="L131" s="2">
        <v>0.21</v>
      </c>
      <c r="M131" s="2">
        <v>0</v>
      </c>
      <c r="N131" s="2">
        <v>4</v>
      </c>
      <c r="O131" s="2">
        <v>801830.35</v>
      </c>
      <c r="P131" s="2">
        <v>114875.32</v>
      </c>
      <c r="Q131">
        <f t="shared" ref="Q131:Q194" si="13">IF(C131="East",1,0)</f>
        <v>1</v>
      </c>
      <c r="R131">
        <f t="shared" ref="R131:R194" si="14">IF(C131="South",1,0)</f>
        <v>0</v>
      </c>
      <c r="S131">
        <f t="shared" ref="S131:S194" si="15">IF(D131="Airport",1,0)</f>
        <v>0</v>
      </c>
      <c r="T131">
        <f t="shared" ref="T131:T194" si="16">IF(D131="High Street",1,0)</f>
        <v>1</v>
      </c>
      <c r="U131">
        <f t="shared" ref="U131:U194" si="17">IF(D131="Mall",1,0)</f>
        <v>0</v>
      </c>
    </row>
    <row r="132" spans="1:21" ht="40.5" customHeight="1">
      <c r="A132" s="2" t="s">
        <v>54</v>
      </c>
      <c r="B132" s="3">
        <v>45717</v>
      </c>
      <c r="C132" s="2" t="s">
        <v>15</v>
      </c>
      <c r="D132" s="2" t="s">
        <v>18</v>
      </c>
      <c r="E132" s="2">
        <v>50735.63</v>
      </c>
      <c r="F132" s="2">
        <v>9619</v>
      </c>
      <c r="G132" s="2">
        <v>0.14399999999999999</v>
      </c>
      <c r="H132" s="2">
        <v>93.8</v>
      </c>
      <c r="I132">
        <f t="shared" si="12"/>
        <v>0</v>
      </c>
      <c r="J132" s="2">
        <v>19</v>
      </c>
      <c r="K132" s="2">
        <v>93.8</v>
      </c>
      <c r="L132" s="2">
        <v>5.12</v>
      </c>
      <c r="M132" s="2">
        <v>1</v>
      </c>
      <c r="N132" s="2">
        <v>4.5</v>
      </c>
      <c r="O132" s="2">
        <v>725235.28</v>
      </c>
      <c r="P132" s="2">
        <v>121632.24</v>
      </c>
      <c r="Q132">
        <f t="shared" si="13"/>
        <v>1</v>
      </c>
      <c r="R132">
        <f t="shared" si="14"/>
        <v>0</v>
      </c>
      <c r="S132">
        <f t="shared" si="15"/>
        <v>0</v>
      </c>
      <c r="T132">
        <f t="shared" si="16"/>
        <v>1</v>
      </c>
      <c r="U132">
        <f t="shared" si="17"/>
        <v>0</v>
      </c>
    </row>
    <row r="133" spans="1:21" ht="40.5" customHeight="1">
      <c r="A133" s="2" t="s">
        <v>54</v>
      </c>
      <c r="B133" s="3">
        <v>45748</v>
      </c>
      <c r="C133" s="2" t="s">
        <v>15</v>
      </c>
      <c r="D133" s="2" t="s">
        <v>18</v>
      </c>
      <c r="E133" s="2">
        <v>66455.8</v>
      </c>
      <c r="F133" s="2">
        <v>10836</v>
      </c>
      <c r="G133" s="2">
        <v>8.8999999999999996E-2</v>
      </c>
      <c r="H133" s="2">
        <v>85</v>
      </c>
      <c r="I133">
        <f t="shared" si="12"/>
        <v>0</v>
      </c>
      <c r="J133" s="2">
        <v>25</v>
      </c>
      <c r="K133" s="2">
        <v>85</v>
      </c>
      <c r="L133" s="2">
        <v>9.77</v>
      </c>
      <c r="M133" s="2">
        <v>0</v>
      </c>
      <c r="N133" s="2">
        <v>4.5</v>
      </c>
      <c r="O133" s="2">
        <v>811452.72</v>
      </c>
      <c r="P133" s="2">
        <v>131325.67000000001</v>
      </c>
      <c r="Q133">
        <f t="shared" si="13"/>
        <v>1</v>
      </c>
      <c r="R133">
        <f t="shared" si="14"/>
        <v>0</v>
      </c>
      <c r="S133">
        <f t="shared" si="15"/>
        <v>0</v>
      </c>
      <c r="T133">
        <f t="shared" si="16"/>
        <v>1</v>
      </c>
      <c r="U133">
        <f t="shared" si="17"/>
        <v>0</v>
      </c>
    </row>
    <row r="134" spans="1:21" ht="40.5" customHeight="1">
      <c r="A134" s="2" t="s">
        <v>55</v>
      </c>
      <c r="B134" s="3">
        <v>45658</v>
      </c>
      <c r="C134" s="2" t="s">
        <v>20</v>
      </c>
      <c r="D134" s="2" t="s">
        <v>18</v>
      </c>
      <c r="E134" s="2">
        <v>70276.28</v>
      </c>
      <c r="F134" s="2">
        <v>3043</v>
      </c>
      <c r="G134" s="2">
        <v>7.9000000000000001E-2</v>
      </c>
      <c r="H134" s="2">
        <v>87.9</v>
      </c>
      <c r="I134">
        <f t="shared" si="12"/>
        <v>1</v>
      </c>
      <c r="J134" s="2">
        <v>9</v>
      </c>
      <c r="K134" s="2">
        <v>87.9</v>
      </c>
      <c r="L134" s="2">
        <v>3.77</v>
      </c>
      <c r="M134" s="2">
        <v>0</v>
      </c>
      <c r="N134" s="2">
        <v>4.4000000000000004</v>
      </c>
      <c r="O134" s="2">
        <v>527300.13</v>
      </c>
      <c r="P134" s="2">
        <v>84197.87</v>
      </c>
      <c r="Q134">
        <f t="shared" si="13"/>
        <v>0</v>
      </c>
      <c r="R134">
        <f t="shared" si="14"/>
        <v>0</v>
      </c>
      <c r="S134">
        <f t="shared" si="15"/>
        <v>0</v>
      </c>
      <c r="T134">
        <f t="shared" si="16"/>
        <v>1</v>
      </c>
      <c r="U134">
        <f t="shared" si="17"/>
        <v>0</v>
      </c>
    </row>
    <row r="135" spans="1:21" ht="40.5" customHeight="1">
      <c r="A135" s="2" t="s">
        <v>55</v>
      </c>
      <c r="B135" s="3">
        <v>45689</v>
      </c>
      <c r="C135" s="2" t="s">
        <v>20</v>
      </c>
      <c r="D135" s="2" t="s">
        <v>18</v>
      </c>
      <c r="E135" s="2">
        <v>22071.64</v>
      </c>
      <c r="F135" s="2">
        <v>1814</v>
      </c>
      <c r="G135" s="2">
        <v>0.19600000000000001</v>
      </c>
      <c r="H135" s="2">
        <v>81.099999999999994</v>
      </c>
      <c r="I135">
        <f t="shared" si="12"/>
        <v>1</v>
      </c>
      <c r="J135" s="2">
        <v>8</v>
      </c>
      <c r="K135" s="2">
        <v>81.099999999999994</v>
      </c>
      <c r="L135" s="2">
        <v>0.78</v>
      </c>
      <c r="M135" s="2">
        <v>0</v>
      </c>
      <c r="N135" s="2"/>
      <c r="O135" s="2">
        <v>400831.65</v>
      </c>
      <c r="P135" s="2">
        <v>70979.31</v>
      </c>
      <c r="Q135">
        <f t="shared" si="13"/>
        <v>0</v>
      </c>
      <c r="R135">
        <f t="shared" si="14"/>
        <v>0</v>
      </c>
      <c r="S135">
        <f t="shared" si="15"/>
        <v>0</v>
      </c>
      <c r="T135">
        <f t="shared" si="16"/>
        <v>1</v>
      </c>
      <c r="U135">
        <f t="shared" si="17"/>
        <v>0</v>
      </c>
    </row>
    <row r="136" spans="1:21" ht="40.5" customHeight="1">
      <c r="A136" s="2" t="s">
        <v>55</v>
      </c>
      <c r="B136" s="3">
        <v>45717</v>
      </c>
      <c r="C136" s="2" t="s">
        <v>20</v>
      </c>
      <c r="D136" s="2" t="s">
        <v>18</v>
      </c>
      <c r="E136" s="2">
        <v>52285.45</v>
      </c>
      <c r="F136" s="2">
        <v>3618</v>
      </c>
      <c r="G136" s="2">
        <v>8.5999999999999993E-2</v>
      </c>
      <c r="H136" s="2">
        <v>95.6</v>
      </c>
      <c r="I136">
        <f t="shared" si="12"/>
        <v>1</v>
      </c>
      <c r="J136" s="2">
        <v>11</v>
      </c>
      <c r="K136" s="2">
        <v>95.6</v>
      </c>
      <c r="L136" s="2">
        <v>5.17</v>
      </c>
      <c r="M136" s="2">
        <v>1</v>
      </c>
      <c r="N136" s="2">
        <v>4.4000000000000004</v>
      </c>
      <c r="O136" s="2">
        <v>593247.25</v>
      </c>
      <c r="P136" s="2">
        <v>81240.289999999994</v>
      </c>
      <c r="Q136">
        <f t="shared" si="13"/>
        <v>0</v>
      </c>
      <c r="R136">
        <f t="shared" si="14"/>
        <v>0</v>
      </c>
      <c r="S136">
        <f t="shared" si="15"/>
        <v>0</v>
      </c>
      <c r="T136">
        <f t="shared" si="16"/>
        <v>1</v>
      </c>
      <c r="U136">
        <f t="shared" si="17"/>
        <v>0</v>
      </c>
    </row>
    <row r="137" spans="1:21" ht="40.5" customHeight="1">
      <c r="A137" s="2" t="s">
        <v>55</v>
      </c>
      <c r="B137" s="3">
        <v>45748</v>
      </c>
      <c r="C137" s="2" t="s">
        <v>20</v>
      </c>
      <c r="D137" s="2" t="s">
        <v>18</v>
      </c>
      <c r="E137" s="2">
        <v>70366.759999999995</v>
      </c>
      <c r="F137" s="2">
        <v>1963</v>
      </c>
      <c r="G137" s="2">
        <v>0.182</v>
      </c>
      <c r="H137" s="2">
        <v>89.8</v>
      </c>
      <c r="I137">
        <f t="shared" si="12"/>
        <v>1</v>
      </c>
      <c r="J137" s="2">
        <v>8</v>
      </c>
      <c r="K137" s="2">
        <v>89.8</v>
      </c>
      <c r="L137" s="2">
        <v>3.2</v>
      </c>
      <c r="M137" s="2">
        <v>0</v>
      </c>
      <c r="N137" s="2">
        <v>4.5999999999999996</v>
      </c>
      <c r="O137" s="2">
        <v>529075.94999999995</v>
      </c>
      <c r="P137" s="2">
        <v>95978.83</v>
      </c>
      <c r="Q137">
        <f t="shared" si="13"/>
        <v>0</v>
      </c>
      <c r="R137">
        <f t="shared" si="14"/>
        <v>0</v>
      </c>
      <c r="S137">
        <f t="shared" si="15"/>
        <v>0</v>
      </c>
      <c r="T137">
        <f t="shared" si="16"/>
        <v>1</v>
      </c>
      <c r="U137">
        <f t="shared" si="17"/>
        <v>0</v>
      </c>
    </row>
    <row r="138" spans="1:21" ht="40.5" customHeight="1">
      <c r="A138" s="2" t="s">
        <v>56</v>
      </c>
      <c r="B138" s="3">
        <v>45658</v>
      </c>
      <c r="C138" s="2" t="s">
        <v>24</v>
      </c>
      <c r="D138" s="2" t="s">
        <v>16</v>
      </c>
      <c r="E138" s="2">
        <v>71320.66</v>
      </c>
      <c r="F138" s="2">
        <v>7888</v>
      </c>
      <c r="G138" s="2">
        <v>4.8000000000000001E-2</v>
      </c>
      <c r="H138" s="2">
        <v>78.099999999999994</v>
      </c>
      <c r="I138">
        <f t="shared" si="12"/>
        <v>0</v>
      </c>
      <c r="J138" s="2">
        <v>20</v>
      </c>
      <c r="K138" s="2">
        <v>78.099999999999994</v>
      </c>
      <c r="L138" s="2">
        <v>3.4</v>
      </c>
      <c r="M138" s="2">
        <v>0</v>
      </c>
      <c r="N138" s="2"/>
      <c r="O138" s="2">
        <v>633638.03</v>
      </c>
      <c r="P138" s="2">
        <v>99402.01</v>
      </c>
      <c r="Q138">
        <f t="shared" si="13"/>
        <v>0</v>
      </c>
      <c r="R138">
        <f t="shared" si="14"/>
        <v>1</v>
      </c>
      <c r="S138">
        <f t="shared" si="15"/>
        <v>0</v>
      </c>
      <c r="T138">
        <f t="shared" si="16"/>
        <v>0</v>
      </c>
      <c r="U138">
        <f t="shared" si="17"/>
        <v>0</v>
      </c>
    </row>
    <row r="139" spans="1:21" ht="40.5" customHeight="1">
      <c r="A139" s="2" t="s">
        <v>56</v>
      </c>
      <c r="B139" s="3">
        <v>45689</v>
      </c>
      <c r="C139" s="2" t="s">
        <v>24</v>
      </c>
      <c r="D139" s="2" t="s">
        <v>16</v>
      </c>
      <c r="E139" s="2">
        <v>75109.67</v>
      </c>
      <c r="F139" s="2">
        <v>6244</v>
      </c>
      <c r="G139" s="2">
        <v>7.9000000000000001E-2</v>
      </c>
      <c r="H139" s="2">
        <v>96.3</v>
      </c>
      <c r="I139">
        <f t="shared" si="12"/>
        <v>0</v>
      </c>
      <c r="J139" s="2">
        <v>15</v>
      </c>
      <c r="K139" s="2">
        <v>96.3</v>
      </c>
      <c r="L139" s="2">
        <v>7.38</v>
      </c>
      <c r="M139" s="2">
        <v>0</v>
      </c>
      <c r="N139" s="2">
        <v>3.7</v>
      </c>
      <c r="O139" s="2">
        <v>743348.84</v>
      </c>
      <c r="P139" s="2">
        <v>104186.09</v>
      </c>
      <c r="Q139">
        <f t="shared" si="13"/>
        <v>0</v>
      </c>
      <c r="R139">
        <f t="shared" si="14"/>
        <v>1</v>
      </c>
      <c r="S139">
        <f t="shared" si="15"/>
        <v>0</v>
      </c>
      <c r="T139">
        <f t="shared" si="16"/>
        <v>0</v>
      </c>
      <c r="U139">
        <f t="shared" si="17"/>
        <v>0</v>
      </c>
    </row>
    <row r="140" spans="1:21" ht="40.5" customHeight="1">
      <c r="A140" s="2" t="s">
        <v>56</v>
      </c>
      <c r="B140" s="3">
        <v>45717</v>
      </c>
      <c r="C140" s="2" t="s">
        <v>24</v>
      </c>
      <c r="D140" s="2" t="s">
        <v>16</v>
      </c>
      <c r="E140" s="2">
        <v>69779</v>
      </c>
      <c r="F140" s="2">
        <v>6544</v>
      </c>
      <c r="G140" s="2">
        <v>0.152</v>
      </c>
      <c r="H140" s="2">
        <v>90.2</v>
      </c>
      <c r="I140">
        <f t="shared" si="12"/>
        <v>0</v>
      </c>
      <c r="J140" s="2">
        <v>18</v>
      </c>
      <c r="K140" s="2">
        <v>90.2</v>
      </c>
      <c r="L140" s="2">
        <v>0.85</v>
      </c>
      <c r="M140" s="2">
        <v>1</v>
      </c>
      <c r="N140" s="2">
        <v>3.3</v>
      </c>
      <c r="O140" s="2">
        <v>758827.64</v>
      </c>
      <c r="P140" s="2">
        <v>161439.48000000001</v>
      </c>
      <c r="Q140">
        <f t="shared" si="13"/>
        <v>0</v>
      </c>
      <c r="R140">
        <f t="shared" si="14"/>
        <v>1</v>
      </c>
      <c r="S140">
        <f t="shared" si="15"/>
        <v>0</v>
      </c>
      <c r="T140">
        <f t="shared" si="16"/>
        <v>0</v>
      </c>
      <c r="U140">
        <f t="shared" si="17"/>
        <v>0</v>
      </c>
    </row>
    <row r="141" spans="1:21" ht="40.5" customHeight="1">
      <c r="A141" s="2" t="s">
        <v>56</v>
      </c>
      <c r="B141" s="3">
        <v>45748</v>
      </c>
      <c r="C141" s="2" t="s">
        <v>24</v>
      </c>
      <c r="D141" s="2" t="s">
        <v>16</v>
      </c>
      <c r="E141" s="2">
        <v>44211.95</v>
      </c>
      <c r="F141" s="2">
        <v>5465</v>
      </c>
      <c r="G141" s="2">
        <v>0.187</v>
      </c>
      <c r="H141" s="2">
        <v>90</v>
      </c>
      <c r="I141">
        <f t="shared" si="12"/>
        <v>0</v>
      </c>
      <c r="J141" s="2">
        <v>12</v>
      </c>
      <c r="K141" s="2">
        <v>90</v>
      </c>
      <c r="L141" s="2">
        <v>2.89</v>
      </c>
      <c r="M141" s="2">
        <v>0</v>
      </c>
      <c r="N141" s="2">
        <v>3.6</v>
      </c>
      <c r="O141" s="2">
        <v>646559.71</v>
      </c>
      <c r="P141" s="2">
        <v>97981.75</v>
      </c>
      <c r="Q141">
        <f t="shared" si="13"/>
        <v>0</v>
      </c>
      <c r="R141">
        <f t="shared" si="14"/>
        <v>1</v>
      </c>
      <c r="S141">
        <f t="shared" si="15"/>
        <v>0</v>
      </c>
      <c r="T141">
        <f t="shared" si="16"/>
        <v>0</v>
      </c>
      <c r="U141">
        <f t="shared" si="17"/>
        <v>0</v>
      </c>
    </row>
    <row r="142" spans="1:21" ht="40.5" customHeight="1">
      <c r="A142" s="2" t="s">
        <v>57</v>
      </c>
      <c r="B142" s="3">
        <v>45658</v>
      </c>
      <c r="C142" s="2" t="s">
        <v>27</v>
      </c>
      <c r="D142" s="2" t="s">
        <v>18</v>
      </c>
      <c r="E142" s="2">
        <v>51430.31</v>
      </c>
      <c r="F142" s="2">
        <v>6427</v>
      </c>
      <c r="G142" s="2">
        <v>0.23400000000000001</v>
      </c>
      <c r="H142" s="2">
        <v>88.8</v>
      </c>
      <c r="I142">
        <f t="shared" si="12"/>
        <v>0</v>
      </c>
      <c r="J142" s="2">
        <v>14</v>
      </c>
      <c r="K142" s="2">
        <v>88.8</v>
      </c>
      <c r="L142" s="2">
        <v>0.77</v>
      </c>
      <c r="M142" s="2">
        <v>0</v>
      </c>
      <c r="N142" s="2">
        <v>4.0999999999999996</v>
      </c>
      <c r="O142" s="2">
        <v>715890.53</v>
      </c>
      <c r="P142" s="2">
        <v>109032.15</v>
      </c>
      <c r="Q142">
        <f t="shared" si="13"/>
        <v>0</v>
      </c>
      <c r="R142">
        <f t="shared" si="14"/>
        <v>0</v>
      </c>
      <c r="S142">
        <f t="shared" si="15"/>
        <v>0</v>
      </c>
      <c r="T142">
        <f t="shared" si="16"/>
        <v>1</v>
      </c>
      <c r="U142">
        <f t="shared" si="17"/>
        <v>0</v>
      </c>
    </row>
    <row r="143" spans="1:21" ht="40.5" customHeight="1">
      <c r="A143" s="2" t="s">
        <v>57</v>
      </c>
      <c r="B143" s="3">
        <v>45689</v>
      </c>
      <c r="C143" s="2" t="s">
        <v>27</v>
      </c>
      <c r="D143" s="2" t="s">
        <v>18</v>
      </c>
      <c r="E143" s="2">
        <v>45706.49</v>
      </c>
      <c r="F143" s="2">
        <v>6704</v>
      </c>
      <c r="G143" s="2">
        <v>3.7999999999999999E-2</v>
      </c>
      <c r="H143" s="2">
        <v>94.2</v>
      </c>
      <c r="I143">
        <f t="shared" si="12"/>
        <v>0</v>
      </c>
      <c r="J143" s="2">
        <v>15</v>
      </c>
      <c r="K143" s="2">
        <v>94.2</v>
      </c>
      <c r="L143" s="2">
        <v>2.92</v>
      </c>
      <c r="M143" s="2">
        <v>0</v>
      </c>
      <c r="N143" s="2">
        <v>4.2</v>
      </c>
      <c r="O143" s="2">
        <v>715097.57</v>
      </c>
      <c r="P143" s="2">
        <v>151875.85999999999</v>
      </c>
      <c r="Q143">
        <f t="shared" si="13"/>
        <v>0</v>
      </c>
      <c r="R143">
        <f t="shared" si="14"/>
        <v>0</v>
      </c>
      <c r="S143">
        <f t="shared" si="15"/>
        <v>0</v>
      </c>
      <c r="T143">
        <f t="shared" si="16"/>
        <v>1</v>
      </c>
      <c r="U143">
        <f t="shared" si="17"/>
        <v>0</v>
      </c>
    </row>
    <row r="144" spans="1:21" ht="40.5" customHeight="1">
      <c r="A144" s="2" t="s">
        <v>57</v>
      </c>
      <c r="B144" s="3">
        <v>45717</v>
      </c>
      <c r="C144" s="2" t="s">
        <v>27</v>
      </c>
      <c r="D144" s="2" t="s">
        <v>18</v>
      </c>
      <c r="E144" s="2">
        <v>44034.6</v>
      </c>
      <c r="F144" s="2">
        <v>5645</v>
      </c>
      <c r="G144" s="2">
        <v>6.9000000000000006E-2</v>
      </c>
      <c r="H144" s="2">
        <v>88.5</v>
      </c>
      <c r="I144">
        <f t="shared" si="12"/>
        <v>0</v>
      </c>
      <c r="J144" s="2">
        <v>18</v>
      </c>
      <c r="K144" s="2">
        <v>88.5</v>
      </c>
      <c r="L144" s="2">
        <v>3.07</v>
      </c>
      <c r="M144" s="2">
        <v>0</v>
      </c>
      <c r="N144" s="2">
        <v>3.8</v>
      </c>
      <c r="O144" s="2">
        <v>682639.28</v>
      </c>
      <c r="P144" s="2">
        <v>77557.53</v>
      </c>
      <c r="Q144">
        <f t="shared" si="13"/>
        <v>0</v>
      </c>
      <c r="R144">
        <f t="shared" si="14"/>
        <v>0</v>
      </c>
      <c r="S144">
        <f t="shared" si="15"/>
        <v>0</v>
      </c>
      <c r="T144">
        <f t="shared" si="16"/>
        <v>1</v>
      </c>
      <c r="U144">
        <f t="shared" si="17"/>
        <v>0</v>
      </c>
    </row>
    <row r="145" spans="1:21" ht="40.5" customHeight="1">
      <c r="A145" s="2" t="s">
        <v>57</v>
      </c>
      <c r="B145" s="3">
        <v>45748</v>
      </c>
      <c r="C145" s="2" t="s">
        <v>27</v>
      </c>
      <c r="D145" s="2" t="s">
        <v>18</v>
      </c>
      <c r="E145" s="2">
        <v>50198.12</v>
      </c>
      <c r="F145" s="2">
        <v>6089</v>
      </c>
      <c r="G145" s="2">
        <v>0.182</v>
      </c>
      <c r="H145" s="2">
        <v>94</v>
      </c>
      <c r="I145">
        <f t="shared" si="12"/>
        <v>0</v>
      </c>
      <c r="J145" s="2">
        <v>19</v>
      </c>
      <c r="K145" s="2">
        <v>94</v>
      </c>
      <c r="L145" s="2">
        <v>9.6999999999999993</v>
      </c>
      <c r="M145" s="2">
        <v>0</v>
      </c>
      <c r="N145" s="2">
        <v>3.9</v>
      </c>
      <c r="O145" s="2">
        <v>695098.51</v>
      </c>
      <c r="P145" s="2">
        <v>108192.75</v>
      </c>
      <c r="Q145">
        <f t="shared" si="13"/>
        <v>0</v>
      </c>
      <c r="R145">
        <f t="shared" si="14"/>
        <v>0</v>
      </c>
      <c r="S145">
        <f t="shared" si="15"/>
        <v>0</v>
      </c>
      <c r="T145">
        <f t="shared" si="16"/>
        <v>1</v>
      </c>
      <c r="U145">
        <f t="shared" si="17"/>
        <v>0</v>
      </c>
    </row>
    <row r="146" spans="1:21" ht="40.5" customHeight="1">
      <c r="A146" s="2" t="s">
        <v>58</v>
      </c>
      <c r="B146" s="3">
        <v>45658</v>
      </c>
      <c r="C146" s="2" t="s">
        <v>20</v>
      </c>
      <c r="D146" s="2" t="s">
        <v>16</v>
      </c>
      <c r="E146" s="2">
        <v>70488.2</v>
      </c>
      <c r="F146" s="2">
        <v>4312</v>
      </c>
      <c r="G146" s="2">
        <v>0.16900000000000001</v>
      </c>
      <c r="H146" s="2">
        <v>90.2</v>
      </c>
      <c r="I146">
        <f t="shared" si="12"/>
        <v>1</v>
      </c>
      <c r="J146" s="2">
        <v>12</v>
      </c>
      <c r="K146" s="2">
        <v>90.2</v>
      </c>
      <c r="L146" s="2">
        <v>3.71</v>
      </c>
      <c r="M146" s="2">
        <v>0</v>
      </c>
      <c r="N146" s="2">
        <v>3.2</v>
      </c>
      <c r="O146" s="2">
        <v>577732.56999999995</v>
      </c>
      <c r="P146" s="2">
        <v>93804.27</v>
      </c>
      <c r="Q146">
        <f t="shared" si="13"/>
        <v>0</v>
      </c>
      <c r="R146">
        <f t="shared" si="14"/>
        <v>0</v>
      </c>
      <c r="S146">
        <f t="shared" si="15"/>
        <v>0</v>
      </c>
      <c r="T146">
        <f t="shared" si="16"/>
        <v>0</v>
      </c>
      <c r="U146">
        <f t="shared" si="17"/>
        <v>0</v>
      </c>
    </row>
    <row r="147" spans="1:21" ht="40.5" customHeight="1">
      <c r="A147" s="2" t="s">
        <v>58</v>
      </c>
      <c r="B147" s="3">
        <v>45689</v>
      </c>
      <c r="C147" s="2" t="s">
        <v>20</v>
      </c>
      <c r="D147" s="2" t="s">
        <v>16</v>
      </c>
      <c r="E147" s="2">
        <v>50909.27</v>
      </c>
      <c r="F147" s="2">
        <v>3152</v>
      </c>
      <c r="G147" s="2">
        <v>0.06</v>
      </c>
      <c r="H147" s="2">
        <v>93.7</v>
      </c>
      <c r="I147">
        <f t="shared" si="12"/>
        <v>1</v>
      </c>
      <c r="J147" s="2">
        <v>13</v>
      </c>
      <c r="K147" s="2">
        <v>93.7</v>
      </c>
      <c r="L147" s="2">
        <v>10.79</v>
      </c>
      <c r="M147" s="2">
        <v>0</v>
      </c>
      <c r="N147" s="2">
        <v>3.5</v>
      </c>
      <c r="O147" s="2">
        <v>537058.32999999996</v>
      </c>
      <c r="P147" s="2">
        <v>93555.71</v>
      </c>
      <c r="Q147">
        <f t="shared" si="13"/>
        <v>0</v>
      </c>
      <c r="R147">
        <f t="shared" si="14"/>
        <v>0</v>
      </c>
      <c r="S147">
        <f t="shared" si="15"/>
        <v>0</v>
      </c>
      <c r="T147">
        <f t="shared" si="16"/>
        <v>0</v>
      </c>
      <c r="U147">
        <f t="shared" si="17"/>
        <v>0</v>
      </c>
    </row>
    <row r="148" spans="1:21" ht="40.5" customHeight="1">
      <c r="A148" s="2" t="s">
        <v>58</v>
      </c>
      <c r="B148" s="3">
        <v>45717</v>
      </c>
      <c r="C148" s="2" t="s">
        <v>20</v>
      </c>
      <c r="D148" s="2" t="s">
        <v>16</v>
      </c>
      <c r="E148" s="2">
        <v>53351.7</v>
      </c>
      <c r="F148" s="2">
        <v>4259</v>
      </c>
      <c r="G148" s="2">
        <v>0.156</v>
      </c>
      <c r="H148" s="2">
        <v>93.7</v>
      </c>
      <c r="I148">
        <f t="shared" si="12"/>
        <v>1</v>
      </c>
      <c r="J148" s="2">
        <v>15</v>
      </c>
      <c r="K148" s="2">
        <v>93.7</v>
      </c>
      <c r="L148" s="2">
        <v>6.03</v>
      </c>
      <c r="M148" s="2">
        <v>0</v>
      </c>
      <c r="N148" s="2">
        <v>3.4</v>
      </c>
      <c r="O148" s="2">
        <v>601568.87</v>
      </c>
      <c r="P148" s="2">
        <v>91634.82</v>
      </c>
      <c r="Q148">
        <f t="shared" si="13"/>
        <v>0</v>
      </c>
      <c r="R148">
        <f t="shared" si="14"/>
        <v>0</v>
      </c>
      <c r="S148">
        <f t="shared" si="15"/>
        <v>0</v>
      </c>
      <c r="T148">
        <f t="shared" si="16"/>
        <v>0</v>
      </c>
      <c r="U148">
        <f t="shared" si="17"/>
        <v>0</v>
      </c>
    </row>
    <row r="149" spans="1:21" ht="40.5" customHeight="1">
      <c r="A149" s="2" t="s">
        <v>58</v>
      </c>
      <c r="B149" s="3">
        <v>45748</v>
      </c>
      <c r="C149" s="2" t="s">
        <v>20</v>
      </c>
      <c r="D149" s="2" t="s">
        <v>16</v>
      </c>
      <c r="E149" s="2">
        <v>60322.400000000001</v>
      </c>
      <c r="F149" s="2">
        <v>3350</v>
      </c>
      <c r="G149" s="2">
        <v>0.108</v>
      </c>
      <c r="H149" s="2">
        <v>89.4</v>
      </c>
      <c r="I149">
        <f t="shared" si="12"/>
        <v>1</v>
      </c>
      <c r="J149" s="2">
        <v>12</v>
      </c>
      <c r="K149" s="2">
        <v>89.4</v>
      </c>
      <c r="L149" s="2">
        <v>4.92</v>
      </c>
      <c r="M149" s="2">
        <v>0</v>
      </c>
      <c r="N149" s="2">
        <v>3.4</v>
      </c>
      <c r="O149" s="2">
        <v>570964.84</v>
      </c>
      <c r="P149" s="2">
        <v>81331.070000000007</v>
      </c>
      <c r="Q149">
        <f t="shared" si="13"/>
        <v>0</v>
      </c>
      <c r="R149">
        <f t="shared" si="14"/>
        <v>0</v>
      </c>
      <c r="S149">
        <f t="shared" si="15"/>
        <v>0</v>
      </c>
      <c r="T149">
        <f t="shared" si="16"/>
        <v>0</v>
      </c>
      <c r="U149">
        <f t="shared" si="17"/>
        <v>0</v>
      </c>
    </row>
    <row r="150" spans="1:21" ht="40.5" customHeight="1">
      <c r="A150" s="2" t="s">
        <v>59</v>
      </c>
      <c r="B150" s="3">
        <v>45658</v>
      </c>
      <c r="C150" s="2" t="s">
        <v>24</v>
      </c>
      <c r="D150" s="2" t="s">
        <v>28</v>
      </c>
      <c r="E150" s="2">
        <v>51575.68</v>
      </c>
      <c r="F150" s="2">
        <v>5329</v>
      </c>
      <c r="G150" s="2">
        <v>4.7E-2</v>
      </c>
      <c r="H150" s="2">
        <v>88.1</v>
      </c>
      <c r="I150">
        <f t="shared" si="12"/>
        <v>0</v>
      </c>
      <c r="J150" s="2">
        <v>17</v>
      </c>
      <c r="K150" s="2">
        <v>88.1</v>
      </c>
      <c r="L150" s="2">
        <v>19.78</v>
      </c>
      <c r="M150" s="2">
        <v>0</v>
      </c>
      <c r="N150" s="2">
        <v>3.8</v>
      </c>
      <c r="O150" s="2">
        <v>614024.91</v>
      </c>
      <c r="P150" s="2">
        <v>84828.93</v>
      </c>
      <c r="Q150">
        <f t="shared" si="13"/>
        <v>0</v>
      </c>
      <c r="R150">
        <f t="shared" si="14"/>
        <v>1</v>
      </c>
      <c r="S150">
        <f t="shared" si="15"/>
        <v>0</v>
      </c>
      <c r="T150">
        <f t="shared" si="16"/>
        <v>0</v>
      </c>
      <c r="U150">
        <f t="shared" si="17"/>
        <v>1</v>
      </c>
    </row>
    <row r="151" spans="1:21" ht="40.5" customHeight="1">
      <c r="A151" s="2" t="s">
        <v>59</v>
      </c>
      <c r="B151" s="3">
        <v>45689</v>
      </c>
      <c r="C151" s="2" t="s">
        <v>24</v>
      </c>
      <c r="D151" s="2" t="s">
        <v>28</v>
      </c>
      <c r="E151" s="2">
        <v>43319.94</v>
      </c>
      <c r="F151" s="2">
        <v>6551</v>
      </c>
      <c r="G151" s="2">
        <v>4.3999999999999997E-2</v>
      </c>
      <c r="H151" s="2">
        <v>99</v>
      </c>
      <c r="I151">
        <f t="shared" si="12"/>
        <v>0</v>
      </c>
      <c r="J151" s="2">
        <v>13</v>
      </c>
      <c r="K151" s="2">
        <v>99</v>
      </c>
      <c r="L151" s="2">
        <v>5.45</v>
      </c>
      <c r="M151" s="2">
        <v>0</v>
      </c>
      <c r="N151" s="2">
        <v>4.0999999999999996</v>
      </c>
      <c r="O151" s="2">
        <v>712868.35</v>
      </c>
      <c r="P151" s="2">
        <v>133650.51</v>
      </c>
      <c r="Q151">
        <f t="shared" si="13"/>
        <v>0</v>
      </c>
      <c r="R151">
        <f t="shared" si="14"/>
        <v>1</v>
      </c>
      <c r="S151">
        <f t="shared" si="15"/>
        <v>0</v>
      </c>
      <c r="T151">
        <f t="shared" si="16"/>
        <v>0</v>
      </c>
      <c r="U151">
        <f t="shared" si="17"/>
        <v>1</v>
      </c>
    </row>
    <row r="152" spans="1:21" ht="40.5" customHeight="1">
      <c r="A152" s="2" t="s">
        <v>59</v>
      </c>
      <c r="B152" s="3">
        <v>45717</v>
      </c>
      <c r="C152" s="2" t="s">
        <v>24</v>
      </c>
      <c r="D152" s="2" t="s">
        <v>28</v>
      </c>
      <c r="E152" s="2">
        <v>47093.55</v>
      </c>
      <c r="F152" s="2">
        <v>5550</v>
      </c>
      <c r="G152" s="2">
        <v>0.1</v>
      </c>
      <c r="H152" s="2">
        <v>95</v>
      </c>
      <c r="I152">
        <f t="shared" si="12"/>
        <v>0</v>
      </c>
      <c r="J152" s="2">
        <v>12</v>
      </c>
      <c r="K152" s="2">
        <v>95</v>
      </c>
      <c r="L152" s="2">
        <v>2.33</v>
      </c>
      <c r="M152" s="2">
        <v>1</v>
      </c>
      <c r="N152" s="2">
        <v>3.7</v>
      </c>
      <c r="O152" s="2">
        <v>696744.15</v>
      </c>
      <c r="P152" s="2">
        <v>152230.09</v>
      </c>
      <c r="Q152">
        <f t="shared" si="13"/>
        <v>0</v>
      </c>
      <c r="R152">
        <f t="shared" si="14"/>
        <v>1</v>
      </c>
      <c r="S152">
        <f t="shared" si="15"/>
        <v>0</v>
      </c>
      <c r="T152">
        <f t="shared" si="16"/>
        <v>0</v>
      </c>
      <c r="U152">
        <f t="shared" si="17"/>
        <v>1</v>
      </c>
    </row>
    <row r="153" spans="1:21" ht="40.5" customHeight="1">
      <c r="A153" s="2" t="s">
        <v>59</v>
      </c>
      <c r="B153" s="3">
        <v>45748</v>
      </c>
      <c r="C153" s="2" t="s">
        <v>24</v>
      </c>
      <c r="D153" s="2" t="s">
        <v>28</v>
      </c>
      <c r="E153" s="2">
        <v>71855.09</v>
      </c>
      <c r="F153" s="2">
        <v>5911</v>
      </c>
      <c r="G153" s="2">
        <v>0.19700000000000001</v>
      </c>
      <c r="H153" s="2">
        <v>94.3</v>
      </c>
      <c r="I153">
        <f t="shared" si="12"/>
        <v>0</v>
      </c>
      <c r="J153" s="2">
        <v>15</v>
      </c>
      <c r="K153" s="2">
        <v>94.3</v>
      </c>
      <c r="L153" s="2">
        <v>3.55</v>
      </c>
      <c r="M153" s="2">
        <v>0</v>
      </c>
      <c r="N153" s="2">
        <v>4.0999999999999996</v>
      </c>
      <c r="O153" s="2">
        <v>725847.99</v>
      </c>
      <c r="P153" s="2">
        <v>122698.73</v>
      </c>
      <c r="Q153">
        <f t="shared" si="13"/>
        <v>0</v>
      </c>
      <c r="R153">
        <f t="shared" si="14"/>
        <v>1</v>
      </c>
      <c r="S153">
        <f t="shared" si="15"/>
        <v>0</v>
      </c>
      <c r="T153">
        <f t="shared" si="16"/>
        <v>0</v>
      </c>
      <c r="U153">
        <f t="shared" si="17"/>
        <v>1</v>
      </c>
    </row>
    <row r="154" spans="1:21" ht="40.5" customHeight="1">
      <c r="A154" s="2" t="s">
        <v>60</v>
      </c>
      <c r="B154" s="3">
        <v>45658</v>
      </c>
      <c r="C154" s="2" t="s">
        <v>15</v>
      </c>
      <c r="D154" s="2" t="s">
        <v>18</v>
      </c>
      <c r="E154" s="2">
        <v>75645.23</v>
      </c>
      <c r="F154" s="2">
        <v>9674</v>
      </c>
      <c r="G154" s="2">
        <v>0.23400000000000001</v>
      </c>
      <c r="H154" s="2">
        <v>87.4</v>
      </c>
      <c r="I154">
        <f t="shared" si="12"/>
        <v>0</v>
      </c>
      <c r="J154" s="2">
        <v>21</v>
      </c>
      <c r="K154" s="2">
        <v>87.4</v>
      </c>
      <c r="L154" s="2">
        <v>0.2</v>
      </c>
      <c r="M154" s="2">
        <v>0</v>
      </c>
      <c r="N154" s="2">
        <v>4.5</v>
      </c>
      <c r="O154" s="2">
        <v>785028.25</v>
      </c>
      <c r="P154" s="2">
        <v>110726.44</v>
      </c>
      <c r="Q154">
        <f t="shared" si="13"/>
        <v>1</v>
      </c>
      <c r="R154">
        <f t="shared" si="14"/>
        <v>0</v>
      </c>
      <c r="S154">
        <f t="shared" si="15"/>
        <v>0</v>
      </c>
      <c r="T154">
        <f t="shared" si="16"/>
        <v>1</v>
      </c>
      <c r="U154">
        <f t="shared" si="17"/>
        <v>0</v>
      </c>
    </row>
    <row r="155" spans="1:21" ht="40.5" customHeight="1">
      <c r="A155" s="2" t="s">
        <v>60</v>
      </c>
      <c r="B155" s="3">
        <v>45689</v>
      </c>
      <c r="C155" s="2" t="s">
        <v>15</v>
      </c>
      <c r="D155" s="2" t="s">
        <v>18</v>
      </c>
      <c r="E155" s="2">
        <v>64374.75</v>
      </c>
      <c r="F155" s="2">
        <v>6740</v>
      </c>
      <c r="G155" s="2">
        <v>0.16900000000000001</v>
      </c>
      <c r="H155" s="2">
        <v>87</v>
      </c>
      <c r="I155">
        <f t="shared" si="12"/>
        <v>0</v>
      </c>
      <c r="J155" s="2">
        <v>18</v>
      </c>
      <c r="K155" s="2">
        <v>87</v>
      </c>
      <c r="L155" s="2">
        <v>2.09</v>
      </c>
      <c r="M155" s="2">
        <v>0</v>
      </c>
      <c r="N155" s="2">
        <v>4.2</v>
      </c>
      <c r="O155" s="2">
        <v>698492.67</v>
      </c>
      <c r="P155" s="2">
        <v>117319.32</v>
      </c>
      <c r="Q155">
        <f t="shared" si="13"/>
        <v>1</v>
      </c>
      <c r="R155">
        <f t="shared" si="14"/>
        <v>0</v>
      </c>
      <c r="S155">
        <f t="shared" si="15"/>
        <v>0</v>
      </c>
      <c r="T155">
        <f t="shared" si="16"/>
        <v>1</v>
      </c>
      <c r="U155">
        <f t="shared" si="17"/>
        <v>0</v>
      </c>
    </row>
    <row r="156" spans="1:21" ht="40.5" customHeight="1">
      <c r="A156" s="2" t="s">
        <v>60</v>
      </c>
      <c r="B156" s="3">
        <v>45717</v>
      </c>
      <c r="C156" s="2" t="s">
        <v>15</v>
      </c>
      <c r="D156" s="2" t="s">
        <v>18</v>
      </c>
      <c r="E156" s="2">
        <v>61433.84</v>
      </c>
      <c r="F156" s="2">
        <v>7745</v>
      </c>
      <c r="G156" s="2">
        <v>0.18</v>
      </c>
      <c r="H156" s="2">
        <v>90.5</v>
      </c>
      <c r="I156">
        <f t="shared" si="12"/>
        <v>0</v>
      </c>
      <c r="J156" s="2">
        <v>16</v>
      </c>
      <c r="K156" s="2">
        <v>90.5</v>
      </c>
      <c r="L156" s="2">
        <v>2.2599999999999998</v>
      </c>
      <c r="M156" s="2">
        <v>0</v>
      </c>
      <c r="N156" s="2">
        <v>4.2</v>
      </c>
      <c r="O156" s="2">
        <v>685830.24</v>
      </c>
      <c r="P156" s="2">
        <v>128736.18</v>
      </c>
      <c r="Q156">
        <f t="shared" si="13"/>
        <v>1</v>
      </c>
      <c r="R156">
        <f t="shared" si="14"/>
        <v>0</v>
      </c>
      <c r="S156">
        <f t="shared" si="15"/>
        <v>0</v>
      </c>
      <c r="T156">
        <f t="shared" si="16"/>
        <v>1</v>
      </c>
      <c r="U156">
        <f t="shared" si="17"/>
        <v>0</v>
      </c>
    </row>
    <row r="157" spans="1:21" ht="40.5" customHeight="1">
      <c r="A157" s="2" t="s">
        <v>60</v>
      </c>
      <c r="B157" s="3">
        <v>45748</v>
      </c>
      <c r="C157" s="2" t="s">
        <v>15</v>
      </c>
      <c r="D157" s="2" t="s">
        <v>18</v>
      </c>
      <c r="E157" s="2">
        <v>42698.14</v>
      </c>
      <c r="F157" s="2">
        <v>7693</v>
      </c>
      <c r="G157" s="2">
        <v>0.187</v>
      </c>
      <c r="H157" s="2">
        <v>90.1</v>
      </c>
      <c r="I157">
        <f t="shared" si="12"/>
        <v>0</v>
      </c>
      <c r="J157" s="2">
        <v>19</v>
      </c>
      <c r="K157" s="2">
        <v>90.1</v>
      </c>
      <c r="L157" s="2">
        <v>0.44</v>
      </c>
      <c r="M157" s="2">
        <v>0</v>
      </c>
      <c r="N157" s="2">
        <v>4.4000000000000004</v>
      </c>
      <c r="O157" s="2">
        <v>702318.94</v>
      </c>
      <c r="P157" s="2">
        <v>112829.29</v>
      </c>
      <c r="Q157">
        <f t="shared" si="13"/>
        <v>1</v>
      </c>
      <c r="R157">
        <f t="shared" si="14"/>
        <v>0</v>
      </c>
      <c r="S157">
        <f t="shared" si="15"/>
        <v>0</v>
      </c>
      <c r="T157">
        <f t="shared" si="16"/>
        <v>1</v>
      </c>
      <c r="U157">
        <f t="shared" si="17"/>
        <v>0</v>
      </c>
    </row>
    <row r="158" spans="1:21" ht="40.5" customHeight="1">
      <c r="A158" s="2" t="s">
        <v>61</v>
      </c>
      <c r="B158" s="3">
        <v>45658</v>
      </c>
      <c r="C158" s="2" t="s">
        <v>20</v>
      </c>
      <c r="D158" s="2" t="s">
        <v>28</v>
      </c>
      <c r="E158" s="2">
        <v>86883.31</v>
      </c>
      <c r="F158" s="2">
        <v>6424</v>
      </c>
      <c r="G158" s="2">
        <v>5.7000000000000002E-2</v>
      </c>
      <c r="H158" s="2">
        <v>85.2</v>
      </c>
      <c r="I158">
        <f t="shared" si="12"/>
        <v>1</v>
      </c>
      <c r="J158" s="2">
        <v>19</v>
      </c>
      <c r="K158" s="2">
        <v>85.2</v>
      </c>
      <c r="L158" s="2">
        <v>3.08</v>
      </c>
      <c r="M158" s="2">
        <v>0</v>
      </c>
      <c r="N158" s="2">
        <v>3.9</v>
      </c>
      <c r="O158" s="2">
        <v>700078.32</v>
      </c>
      <c r="P158" s="2">
        <v>123707.58</v>
      </c>
      <c r="Q158">
        <f t="shared" si="13"/>
        <v>0</v>
      </c>
      <c r="R158">
        <f t="shared" si="14"/>
        <v>0</v>
      </c>
      <c r="S158">
        <f t="shared" si="15"/>
        <v>0</v>
      </c>
      <c r="T158">
        <f t="shared" si="16"/>
        <v>0</v>
      </c>
      <c r="U158">
        <f t="shared" si="17"/>
        <v>1</v>
      </c>
    </row>
    <row r="159" spans="1:21" ht="40.5" customHeight="1">
      <c r="A159" s="2" t="s">
        <v>61</v>
      </c>
      <c r="B159" s="3">
        <v>45689</v>
      </c>
      <c r="C159" s="2" t="s">
        <v>20</v>
      </c>
      <c r="D159" s="2" t="s">
        <v>28</v>
      </c>
      <c r="E159" s="2">
        <v>41863.08</v>
      </c>
      <c r="F159" s="2">
        <v>5400</v>
      </c>
      <c r="G159" s="2">
        <v>0.114</v>
      </c>
      <c r="H159" s="2">
        <v>91.6</v>
      </c>
      <c r="I159">
        <f t="shared" si="12"/>
        <v>1</v>
      </c>
      <c r="J159" s="2">
        <v>11</v>
      </c>
      <c r="K159" s="2">
        <v>91.6</v>
      </c>
      <c r="L159" s="2">
        <v>7.99</v>
      </c>
      <c r="M159" s="2">
        <v>0</v>
      </c>
      <c r="N159" s="2">
        <v>3</v>
      </c>
      <c r="O159" s="2">
        <v>602002.31999999995</v>
      </c>
      <c r="P159" s="2">
        <v>110453.28</v>
      </c>
      <c r="Q159">
        <f t="shared" si="13"/>
        <v>0</v>
      </c>
      <c r="R159">
        <f t="shared" si="14"/>
        <v>0</v>
      </c>
      <c r="S159">
        <f t="shared" si="15"/>
        <v>0</v>
      </c>
      <c r="T159">
        <f t="shared" si="16"/>
        <v>0</v>
      </c>
      <c r="U159">
        <f t="shared" si="17"/>
        <v>1</v>
      </c>
    </row>
    <row r="160" spans="1:21" ht="40.5" customHeight="1">
      <c r="A160" s="2" t="s">
        <v>61</v>
      </c>
      <c r="B160" s="3">
        <v>45717</v>
      </c>
      <c r="C160" s="2" t="s">
        <v>20</v>
      </c>
      <c r="D160" s="2" t="s">
        <v>28</v>
      </c>
      <c r="E160" s="2">
        <v>56918.16</v>
      </c>
      <c r="F160" s="2">
        <v>7015</v>
      </c>
      <c r="G160" s="2">
        <v>0.158</v>
      </c>
      <c r="H160" s="2">
        <v>74.2</v>
      </c>
      <c r="I160">
        <f t="shared" si="12"/>
        <v>1</v>
      </c>
      <c r="J160" s="2">
        <v>18</v>
      </c>
      <c r="K160" s="2">
        <v>74.2</v>
      </c>
      <c r="L160" s="2">
        <v>0.2</v>
      </c>
      <c r="M160" s="2">
        <v>0</v>
      </c>
      <c r="N160" s="2">
        <v>3.4</v>
      </c>
      <c r="O160" s="2">
        <v>724216.07</v>
      </c>
      <c r="P160" s="2">
        <v>100627.56</v>
      </c>
      <c r="Q160">
        <f t="shared" si="13"/>
        <v>0</v>
      </c>
      <c r="R160">
        <f t="shared" si="14"/>
        <v>0</v>
      </c>
      <c r="S160">
        <f t="shared" si="15"/>
        <v>0</v>
      </c>
      <c r="T160">
        <f t="shared" si="16"/>
        <v>0</v>
      </c>
      <c r="U160">
        <f t="shared" si="17"/>
        <v>1</v>
      </c>
    </row>
    <row r="161" spans="1:21" ht="40.5" customHeight="1">
      <c r="A161" s="2" t="s">
        <v>61</v>
      </c>
      <c r="B161" s="3">
        <v>45748</v>
      </c>
      <c r="C161" s="2" t="s">
        <v>20</v>
      </c>
      <c r="D161" s="2" t="s">
        <v>28</v>
      </c>
      <c r="E161" s="2">
        <v>23254.57</v>
      </c>
      <c r="F161" s="2">
        <v>3847</v>
      </c>
      <c r="G161" s="2">
        <v>0.159</v>
      </c>
      <c r="H161" s="2">
        <v>93</v>
      </c>
      <c r="I161">
        <f t="shared" si="12"/>
        <v>1</v>
      </c>
      <c r="J161" s="2">
        <v>12</v>
      </c>
      <c r="K161" s="2">
        <v>93</v>
      </c>
      <c r="L161" s="2">
        <v>5.46</v>
      </c>
      <c r="M161" s="2">
        <v>0</v>
      </c>
      <c r="N161" s="2">
        <v>3.3</v>
      </c>
      <c r="O161" s="2">
        <v>620973.03</v>
      </c>
      <c r="P161" s="2">
        <v>72303.850000000006</v>
      </c>
      <c r="Q161">
        <f t="shared" si="13"/>
        <v>0</v>
      </c>
      <c r="R161">
        <f t="shared" si="14"/>
        <v>0</v>
      </c>
      <c r="S161">
        <f t="shared" si="15"/>
        <v>0</v>
      </c>
      <c r="T161">
        <f t="shared" si="16"/>
        <v>0</v>
      </c>
      <c r="U161">
        <f t="shared" si="17"/>
        <v>1</v>
      </c>
    </row>
    <row r="162" spans="1:21" ht="40.5" customHeight="1">
      <c r="A162" s="2" t="s">
        <v>62</v>
      </c>
      <c r="B162" s="3">
        <v>45658</v>
      </c>
      <c r="C162" s="2" t="s">
        <v>24</v>
      </c>
      <c r="D162" s="2" t="s">
        <v>18</v>
      </c>
      <c r="E162" s="2">
        <v>41443.410000000003</v>
      </c>
      <c r="F162" s="2">
        <v>7455</v>
      </c>
      <c r="G162" s="2">
        <v>0.17499999999999999</v>
      </c>
      <c r="H162" s="2">
        <v>90.1</v>
      </c>
      <c r="I162">
        <f t="shared" si="12"/>
        <v>0</v>
      </c>
      <c r="J162" s="2">
        <v>16</v>
      </c>
      <c r="K162" s="2">
        <v>90.1</v>
      </c>
      <c r="L162" s="2">
        <v>4.05</v>
      </c>
      <c r="M162" s="2">
        <v>0</v>
      </c>
      <c r="N162" s="2">
        <v>4</v>
      </c>
      <c r="O162" s="2">
        <v>650480.06000000006</v>
      </c>
      <c r="P162" s="2">
        <v>109012.07</v>
      </c>
      <c r="Q162">
        <f t="shared" si="13"/>
        <v>0</v>
      </c>
      <c r="R162">
        <f t="shared" si="14"/>
        <v>1</v>
      </c>
      <c r="S162">
        <f t="shared" si="15"/>
        <v>0</v>
      </c>
      <c r="T162">
        <f t="shared" si="16"/>
        <v>1</v>
      </c>
      <c r="U162">
        <f t="shared" si="17"/>
        <v>0</v>
      </c>
    </row>
    <row r="163" spans="1:21" ht="40.5" customHeight="1">
      <c r="A163" s="2" t="s">
        <v>62</v>
      </c>
      <c r="B163" s="3">
        <v>45689</v>
      </c>
      <c r="C163" s="2" t="s">
        <v>24</v>
      </c>
      <c r="D163" s="2" t="s">
        <v>18</v>
      </c>
      <c r="E163" s="2">
        <v>48438.85</v>
      </c>
      <c r="F163" s="2">
        <v>6992</v>
      </c>
      <c r="G163" s="2">
        <v>3.4000000000000002E-2</v>
      </c>
      <c r="H163" s="2">
        <v>91</v>
      </c>
      <c r="I163">
        <f t="shared" si="12"/>
        <v>0</v>
      </c>
      <c r="J163" s="2">
        <v>20</v>
      </c>
      <c r="K163" s="2">
        <v>91</v>
      </c>
      <c r="L163" s="2">
        <v>4.3600000000000003</v>
      </c>
      <c r="M163" s="2">
        <v>0</v>
      </c>
      <c r="N163" s="2">
        <v>4.2</v>
      </c>
      <c r="O163" s="2">
        <v>778298.88</v>
      </c>
      <c r="P163" s="2">
        <v>130076.72</v>
      </c>
      <c r="Q163">
        <f t="shared" si="13"/>
        <v>0</v>
      </c>
      <c r="R163">
        <f t="shared" si="14"/>
        <v>1</v>
      </c>
      <c r="S163">
        <f t="shared" si="15"/>
        <v>0</v>
      </c>
      <c r="T163">
        <f t="shared" si="16"/>
        <v>1</v>
      </c>
      <c r="U163">
        <f t="shared" si="17"/>
        <v>0</v>
      </c>
    </row>
    <row r="164" spans="1:21" ht="40.5" customHeight="1">
      <c r="A164" s="2" t="s">
        <v>62</v>
      </c>
      <c r="B164" s="3">
        <v>45717</v>
      </c>
      <c r="C164" s="2" t="s">
        <v>24</v>
      </c>
      <c r="D164" s="2" t="s">
        <v>18</v>
      </c>
      <c r="E164" s="2">
        <v>57143.3</v>
      </c>
      <c r="F164" s="2">
        <v>8038</v>
      </c>
      <c r="G164" s="2">
        <v>0.193</v>
      </c>
      <c r="H164" s="2">
        <v>72.599999999999994</v>
      </c>
      <c r="I164">
        <f t="shared" si="12"/>
        <v>0</v>
      </c>
      <c r="J164" s="2">
        <v>17</v>
      </c>
      <c r="K164" s="2">
        <v>72.599999999999994</v>
      </c>
      <c r="L164" s="2"/>
      <c r="M164" s="2">
        <v>0</v>
      </c>
      <c r="N164" s="2">
        <v>4.2</v>
      </c>
      <c r="O164" s="2">
        <v>677096.71</v>
      </c>
      <c r="P164" s="2">
        <v>97174.11</v>
      </c>
      <c r="Q164">
        <f t="shared" si="13"/>
        <v>0</v>
      </c>
      <c r="R164">
        <f t="shared" si="14"/>
        <v>1</v>
      </c>
      <c r="S164">
        <f t="shared" si="15"/>
        <v>0</v>
      </c>
      <c r="T164">
        <f t="shared" si="16"/>
        <v>1</v>
      </c>
      <c r="U164">
        <f t="shared" si="17"/>
        <v>0</v>
      </c>
    </row>
    <row r="165" spans="1:21" ht="40.5" customHeight="1">
      <c r="A165" s="2" t="s">
        <v>62</v>
      </c>
      <c r="B165" s="3">
        <v>45748</v>
      </c>
      <c r="C165" s="2" t="s">
        <v>24</v>
      </c>
      <c r="D165" s="2" t="s">
        <v>18</v>
      </c>
      <c r="E165" s="2">
        <v>66870.62</v>
      </c>
      <c r="F165" s="2">
        <v>6055</v>
      </c>
      <c r="G165" s="2">
        <v>7.4999999999999997E-2</v>
      </c>
      <c r="H165" s="2">
        <v>93.8</v>
      </c>
      <c r="I165">
        <f t="shared" si="12"/>
        <v>0</v>
      </c>
      <c r="J165" s="2">
        <v>19</v>
      </c>
      <c r="K165" s="2">
        <v>93.8</v>
      </c>
      <c r="L165" s="2">
        <v>0.54</v>
      </c>
      <c r="M165" s="2">
        <v>0</v>
      </c>
      <c r="N165" s="2">
        <v>4.3</v>
      </c>
      <c r="O165" s="2">
        <v>692008.64</v>
      </c>
      <c r="P165" s="2">
        <v>116337.87</v>
      </c>
      <c r="Q165">
        <f t="shared" si="13"/>
        <v>0</v>
      </c>
      <c r="R165">
        <f t="shared" si="14"/>
        <v>1</v>
      </c>
      <c r="S165">
        <f t="shared" si="15"/>
        <v>0</v>
      </c>
      <c r="T165">
        <f t="shared" si="16"/>
        <v>1</v>
      </c>
      <c r="U165">
        <f t="shared" si="17"/>
        <v>0</v>
      </c>
    </row>
    <row r="166" spans="1:21" ht="40.5" customHeight="1">
      <c r="A166" s="2" t="s">
        <v>63</v>
      </c>
      <c r="B166" s="3">
        <v>45658</v>
      </c>
      <c r="C166" s="2" t="s">
        <v>20</v>
      </c>
      <c r="D166" s="2" t="s">
        <v>28</v>
      </c>
      <c r="E166" s="2">
        <v>72150.53</v>
      </c>
      <c r="F166" s="2">
        <v>9323</v>
      </c>
      <c r="G166" s="2">
        <v>0.157</v>
      </c>
      <c r="H166" s="2">
        <v>82.9</v>
      </c>
      <c r="I166">
        <f t="shared" si="12"/>
        <v>1</v>
      </c>
      <c r="J166" s="2">
        <v>22</v>
      </c>
      <c r="K166" s="2">
        <v>82.9</v>
      </c>
      <c r="L166" s="2">
        <v>11.37</v>
      </c>
      <c r="M166" s="2">
        <v>1</v>
      </c>
      <c r="N166" s="2">
        <v>4.3</v>
      </c>
      <c r="O166" s="2">
        <v>825797.91</v>
      </c>
      <c r="P166" s="2">
        <v>130945.24</v>
      </c>
      <c r="Q166">
        <f t="shared" si="13"/>
        <v>0</v>
      </c>
      <c r="R166">
        <f t="shared" si="14"/>
        <v>0</v>
      </c>
      <c r="S166">
        <f t="shared" si="15"/>
        <v>0</v>
      </c>
      <c r="T166">
        <f t="shared" si="16"/>
        <v>0</v>
      </c>
      <c r="U166">
        <f t="shared" si="17"/>
        <v>1</v>
      </c>
    </row>
    <row r="167" spans="1:21" ht="40.5" customHeight="1">
      <c r="A167" s="2" t="s">
        <v>63</v>
      </c>
      <c r="B167" s="3">
        <v>45689</v>
      </c>
      <c r="C167" s="2" t="s">
        <v>20</v>
      </c>
      <c r="D167" s="2" t="s">
        <v>28</v>
      </c>
      <c r="E167" s="2">
        <v>35303.300000000003</v>
      </c>
      <c r="F167" s="2">
        <v>8789</v>
      </c>
      <c r="G167" s="2">
        <v>0.123</v>
      </c>
      <c r="H167" s="2">
        <v>86.1</v>
      </c>
      <c r="I167">
        <f t="shared" si="12"/>
        <v>1</v>
      </c>
      <c r="J167" s="2">
        <v>22</v>
      </c>
      <c r="K167" s="2">
        <v>86.1</v>
      </c>
      <c r="L167" s="2">
        <v>9.43</v>
      </c>
      <c r="M167" s="2">
        <v>0</v>
      </c>
      <c r="N167" s="2">
        <v>4.2</v>
      </c>
      <c r="O167" s="2">
        <v>706285.52</v>
      </c>
      <c r="P167" s="2">
        <v>138014.72</v>
      </c>
      <c r="Q167">
        <f t="shared" si="13"/>
        <v>0</v>
      </c>
      <c r="R167">
        <f t="shared" si="14"/>
        <v>0</v>
      </c>
      <c r="S167">
        <f t="shared" si="15"/>
        <v>0</v>
      </c>
      <c r="T167">
        <f t="shared" si="16"/>
        <v>0</v>
      </c>
      <c r="U167">
        <f t="shared" si="17"/>
        <v>1</v>
      </c>
    </row>
    <row r="168" spans="1:21" ht="40.5" customHeight="1">
      <c r="A168" s="2" t="s">
        <v>63</v>
      </c>
      <c r="B168" s="3">
        <v>45717</v>
      </c>
      <c r="C168" s="2" t="s">
        <v>20</v>
      </c>
      <c r="D168" s="2" t="s">
        <v>28</v>
      </c>
      <c r="E168" s="2">
        <v>30301.86</v>
      </c>
      <c r="F168" s="2">
        <v>6939</v>
      </c>
      <c r="G168" s="2">
        <v>0.09</v>
      </c>
      <c r="H168" s="2">
        <v>90.3</v>
      </c>
      <c r="I168">
        <f t="shared" si="12"/>
        <v>1</v>
      </c>
      <c r="J168" s="2">
        <v>16</v>
      </c>
      <c r="K168" s="2">
        <v>90.3</v>
      </c>
      <c r="L168" s="2">
        <v>3.49</v>
      </c>
      <c r="M168" s="2">
        <v>0</v>
      </c>
      <c r="N168" s="2">
        <v>4</v>
      </c>
      <c r="O168" s="2">
        <v>665534.69999999995</v>
      </c>
      <c r="P168" s="2">
        <v>113167.73</v>
      </c>
      <c r="Q168">
        <f t="shared" si="13"/>
        <v>0</v>
      </c>
      <c r="R168">
        <f t="shared" si="14"/>
        <v>0</v>
      </c>
      <c r="S168">
        <f t="shared" si="15"/>
        <v>0</v>
      </c>
      <c r="T168">
        <f t="shared" si="16"/>
        <v>0</v>
      </c>
      <c r="U168">
        <f t="shared" si="17"/>
        <v>1</v>
      </c>
    </row>
    <row r="169" spans="1:21" ht="40.5" customHeight="1">
      <c r="A169" s="2" t="s">
        <v>63</v>
      </c>
      <c r="B169" s="3">
        <v>45748</v>
      </c>
      <c r="C169" s="2" t="s">
        <v>20</v>
      </c>
      <c r="D169" s="2" t="s">
        <v>28</v>
      </c>
      <c r="E169" s="2">
        <v>78432.14</v>
      </c>
      <c r="F169" s="2">
        <v>9440</v>
      </c>
      <c r="G169" s="2">
        <v>0.126</v>
      </c>
      <c r="H169" s="2">
        <v>89.2</v>
      </c>
      <c r="I169">
        <f t="shared" si="12"/>
        <v>1</v>
      </c>
      <c r="J169" s="2">
        <v>23</v>
      </c>
      <c r="K169" s="2">
        <v>89.2</v>
      </c>
      <c r="L169" s="2">
        <v>7.86</v>
      </c>
      <c r="M169" s="2">
        <v>0</v>
      </c>
      <c r="N169" s="2">
        <v>4.0999999999999996</v>
      </c>
      <c r="O169" s="2">
        <v>820729.29</v>
      </c>
      <c r="P169" s="2">
        <v>159325.47</v>
      </c>
      <c r="Q169">
        <f t="shared" si="13"/>
        <v>0</v>
      </c>
      <c r="R169">
        <f t="shared" si="14"/>
        <v>0</v>
      </c>
      <c r="S169">
        <f t="shared" si="15"/>
        <v>0</v>
      </c>
      <c r="T169">
        <f t="shared" si="16"/>
        <v>0</v>
      </c>
      <c r="U169">
        <f t="shared" si="17"/>
        <v>1</v>
      </c>
    </row>
    <row r="170" spans="1:21" ht="40.5" customHeight="1">
      <c r="A170" s="2" t="s">
        <v>64</v>
      </c>
      <c r="B170" s="3">
        <v>45658</v>
      </c>
      <c r="C170" s="2" t="s">
        <v>15</v>
      </c>
      <c r="D170" s="2" t="s">
        <v>16</v>
      </c>
      <c r="E170" s="2">
        <v>62059.18</v>
      </c>
      <c r="F170" s="2">
        <v>9374</v>
      </c>
      <c r="G170" s="2">
        <v>0.13600000000000001</v>
      </c>
      <c r="H170" s="2">
        <v>87.1</v>
      </c>
      <c r="I170">
        <f t="shared" si="12"/>
        <v>0</v>
      </c>
      <c r="J170" s="2">
        <v>25</v>
      </c>
      <c r="K170" s="2">
        <v>87.1</v>
      </c>
      <c r="L170" s="2">
        <v>12.55</v>
      </c>
      <c r="M170" s="2">
        <v>0</v>
      </c>
      <c r="N170" s="2">
        <v>4.9000000000000004</v>
      </c>
      <c r="O170" s="2">
        <v>739831.73</v>
      </c>
      <c r="P170" s="2">
        <v>119490.21</v>
      </c>
      <c r="Q170">
        <f t="shared" si="13"/>
        <v>1</v>
      </c>
      <c r="R170">
        <f t="shared" si="14"/>
        <v>0</v>
      </c>
      <c r="S170">
        <f t="shared" si="15"/>
        <v>0</v>
      </c>
      <c r="T170">
        <f t="shared" si="16"/>
        <v>0</v>
      </c>
      <c r="U170">
        <f t="shared" si="17"/>
        <v>0</v>
      </c>
    </row>
    <row r="171" spans="1:21" ht="40.5" customHeight="1">
      <c r="A171" s="2" t="s">
        <v>64</v>
      </c>
      <c r="B171" s="3">
        <v>45689</v>
      </c>
      <c r="C171" s="2" t="s">
        <v>15</v>
      </c>
      <c r="D171" s="2" t="s">
        <v>16</v>
      </c>
      <c r="E171" s="2">
        <v>32834.480000000003</v>
      </c>
      <c r="F171" s="2">
        <v>7576</v>
      </c>
      <c r="G171" s="2">
        <v>9.9000000000000005E-2</v>
      </c>
      <c r="H171" s="2">
        <v>84.1</v>
      </c>
      <c r="I171">
        <f t="shared" si="12"/>
        <v>0</v>
      </c>
      <c r="J171" s="2">
        <v>15</v>
      </c>
      <c r="K171" s="2">
        <v>84.1</v>
      </c>
      <c r="L171" s="2">
        <v>3.48</v>
      </c>
      <c r="M171" s="2">
        <v>0</v>
      </c>
      <c r="N171" s="2">
        <v>5</v>
      </c>
      <c r="O171" s="2">
        <v>593637.14</v>
      </c>
      <c r="P171" s="2">
        <v>106648.14</v>
      </c>
      <c r="Q171">
        <f t="shared" si="13"/>
        <v>1</v>
      </c>
      <c r="R171">
        <f t="shared" si="14"/>
        <v>0</v>
      </c>
      <c r="S171">
        <f t="shared" si="15"/>
        <v>0</v>
      </c>
      <c r="T171">
        <f t="shared" si="16"/>
        <v>0</v>
      </c>
      <c r="U171">
        <f t="shared" si="17"/>
        <v>0</v>
      </c>
    </row>
    <row r="172" spans="1:21" ht="40.5" customHeight="1">
      <c r="A172" s="2" t="s">
        <v>64</v>
      </c>
      <c r="B172" s="3">
        <v>45717</v>
      </c>
      <c r="C172" s="2" t="s">
        <v>15</v>
      </c>
      <c r="D172" s="2" t="s">
        <v>16</v>
      </c>
      <c r="E172" s="2">
        <v>50825.08</v>
      </c>
      <c r="F172" s="2">
        <v>8949</v>
      </c>
      <c r="G172" s="2">
        <v>0.157</v>
      </c>
      <c r="H172" s="2">
        <v>84.7</v>
      </c>
      <c r="I172">
        <f t="shared" si="12"/>
        <v>0</v>
      </c>
      <c r="J172" s="2">
        <v>21</v>
      </c>
      <c r="K172" s="2">
        <v>84.7</v>
      </c>
      <c r="L172" s="2">
        <v>7.73</v>
      </c>
      <c r="M172" s="2">
        <v>0</v>
      </c>
      <c r="N172" s="2">
        <v>4.9000000000000004</v>
      </c>
      <c r="O172" s="2">
        <v>769702.76</v>
      </c>
      <c r="P172" s="2">
        <v>158697</v>
      </c>
      <c r="Q172">
        <f t="shared" si="13"/>
        <v>1</v>
      </c>
      <c r="R172">
        <f t="shared" si="14"/>
        <v>0</v>
      </c>
      <c r="S172">
        <f t="shared" si="15"/>
        <v>0</v>
      </c>
      <c r="T172">
        <f t="shared" si="16"/>
        <v>0</v>
      </c>
      <c r="U172">
        <f t="shared" si="17"/>
        <v>0</v>
      </c>
    </row>
    <row r="173" spans="1:21" ht="40.5" customHeight="1">
      <c r="A173" s="2" t="s">
        <v>64</v>
      </c>
      <c r="B173" s="3">
        <v>45748</v>
      </c>
      <c r="C173" s="2" t="s">
        <v>15</v>
      </c>
      <c r="D173" s="2" t="s">
        <v>16</v>
      </c>
      <c r="E173" s="2">
        <v>36606.51</v>
      </c>
      <c r="F173" s="2">
        <v>7671</v>
      </c>
      <c r="G173" s="2">
        <v>0.11799999999999999</v>
      </c>
      <c r="H173" s="2">
        <v>89.8</v>
      </c>
      <c r="I173">
        <f t="shared" si="12"/>
        <v>0</v>
      </c>
      <c r="J173" s="2">
        <v>18</v>
      </c>
      <c r="K173" s="2">
        <v>89.8</v>
      </c>
      <c r="L173" s="2">
        <v>0.25</v>
      </c>
      <c r="M173" s="2">
        <v>0</v>
      </c>
      <c r="N173" s="2">
        <v>4.4000000000000004</v>
      </c>
      <c r="O173" s="2">
        <v>679731.57</v>
      </c>
      <c r="P173" s="2">
        <v>121546.42</v>
      </c>
      <c r="Q173">
        <f t="shared" si="13"/>
        <v>1</v>
      </c>
      <c r="R173">
        <f t="shared" si="14"/>
        <v>0</v>
      </c>
      <c r="S173">
        <f t="shared" si="15"/>
        <v>0</v>
      </c>
      <c r="T173">
        <f t="shared" si="16"/>
        <v>0</v>
      </c>
      <c r="U173">
        <f t="shared" si="17"/>
        <v>0</v>
      </c>
    </row>
    <row r="174" spans="1:21" ht="40.5" customHeight="1">
      <c r="A174" s="2" t="s">
        <v>65</v>
      </c>
      <c r="B174" s="3">
        <v>45658</v>
      </c>
      <c r="C174" s="2" t="s">
        <v>15</v>
      </c>
      <c r="D174" s="2" t="s">
        <v>16</v>
      </c>
      <c r="E174" s="2">
        <v>65237.79</v>
      </c>
      <c r="F174" s="2">
        <v>8741</v>
      </c>
      <c r="G174" s="2">
        <v>0.157</v>
      </c>
      <c r="H174" s="2">
        <v>94.4</v>
      </c>
      <c r="I174">
        <f t="shared" si="12"/>
        <v>0</v>
      </c>
      <c r="J174" s="2">
        <v>20</v>
      </c>
      <c r="K174" s="2">
        <v>94.4</v>
      </c>
      <c r="L174" s="2">
        <v>6.43</v>
      </c>
      <c r="M174" s="2">
        <v>0</v>
      </c>
      <c r="N174" s="2">
        <v>3.3</v>
      </c>
      <c r="O174" s="2">
        <v>780344.18</v>
      </c>
      <c r="P174" s="2">
        <v>118239.09</v>
      </c>
      <c r="Q174">
        <f t="shared" si="13"/>
        <v>1</v>
      </c>
      <c r="R174">
        <f t="shared" si="14"/>
        <v>0</v>
      </c>
      <c r="S174">
        <f t="shared" si="15"/>
        <v>0</v>
      </c>
      <c r="T174">
        <f t="shared" si="16"/>
        <v>0</v>
      </c>
      <c r="U174">
        <f t="shared" si="17"/>
        <v>0</v>
      </c>
    </row>
    <row r="175" spans="1:21" ht="40.5" customHeight="1">
      <c r="A175" s="2" t="s">
        <v>65</v>
      </c>
      <c r="B175" s="3">
        <v>45689</v>
      </c>
      <c r="C175" s="2" t="s">
        <v>15</v>
      </c>
      <c r="D175" s="2" t="s">
        <v>16</v>
      </c>
      <c r="E175" s="2">
        <v>43645.98</v>
      </c>
      <c r="F175" s="2">
        <v>9480</v>
      </c>
      <c r="G175" s="2">
        <v>0.109</v>
      </c>
      <c r="H175" s="2">
        <v>89</v>
      </c>
      <c r="I175">
        <f t="shared" si="12"/>
        <v>0</v>
      </c>
      <c r="J175" s="2">
        <v>22</v>
      </c>
      <c r="K175" s="2">
        <v>89</v>
      </c>
      <c r="L175" s="2">
        <v>2.11</v>
      </c>
      <c r="M175" s="2">
        <v>0</v>
      </c>
      <c r="N175" s="2">
        <v>3.1</v>
      </c>
      <c r="O175" s="2">
        <v>721364.11</v>
      </c>
      <c r="P175" s="2">
        <v>147272.81</v>
      </c>
      <c r="Q175">
        <f t="shared" si="13"/>
        <v>1</v>
      </c>
      <c r="R175">
        <f t="shared" si="14"/>
        <v>0</v>
      </c>
      <c r="S175">
        <f t="shared" si="15"/>
        <v>0</v>
      </c>
      <c r="T175">
        <f t="shared" si="16"/>
        <v>0</v>
      </c>
      <c r="U175">
        <f t="shared" si="17"/>
        <v>0</v>
      </c>
    </row>
    <row r="176" spans="1:21" ht="40.5" customHeight="1">
      <c r="A176" s="2" t="s">
        <v>65</v>
      </c>
      <c r="B176" s="3">
        <v>45717</v>
      </c>
      <c r="C176" s="2" t="s">
        <v>15</v>
      </c>
      <c r="D176" s="2" t="s">
        <v>16</v>
      </c>
      <c r="E176" s="2">
        <v>68040.149999999994</v>
      </c>
      <c r="F176" s="2">
        <v>9826</v>
      </c>
      <c r="G176" s="2">
        <v>0.125</v>
      </c>
      <c r="H176" s="2">
        <v>83.9</v>
      </c>
      <c r="I176">
        <f t="shared" si="12"/>
        <v>0</v>
      </c>
      <c r="J176" s="2">
        <v>20</v>
      </c>
      <c r="K176" s="2">
        <v>83.9</v>
      </c>
      <c r="L176" s="2">
        <v>9.1199999999999992</v>
      </c>
      <c r="M176" s="2">
        <v>0</v>
      </c>
      <c r="N176" s="2">
        <v>3.6</v>
      </c>
      <c r="O176" s="2">
        <v>758138.29</v>
      </c>
      <c r="P176" s="2">
        <v>132975.26</v>
      </c>
      <c r="Q176">
        <f t="shared" si="13"/>
        <v>1</v>
      </c>
      <c r="R176">
        <f t="shared" si="14"/>
        <v>0</v>
      </c>
      <c r="S176">
        <f t="shared" si="15"/>
        <v>0</v>
      </c>
      <c r="T176">
        <f t="shared" si="16"/>
        <v>0</v>
      </c>
      <c r="U176">
        <f t="shared" si="17"/>
        <v>0</v>
      </c>
    </row>
    <row r="177" spans="1:21" ht="40.5" customHeight="1">
      <c r="A177" s="2" t="s">
        <v>65</v>
      </c>
      <c r="B177" s="3">
        <v>45748</v>
      </c>
      <c r="C177" s="2" t="s">
        <v>15</v>
      </c>
      <c r="D177" s="2" t="s">
        <v>16</v>
      </c>
      <c r="E177" s="2">
        <v>63043.94</v>
      </c>
      <c r="F177" s="2">
        <v>10402</v>
      </c>
      <c r="G177" s="2">
        <v>0.159</v>
      </c>
      <c r="H177" s="2">
        <v>93.9</v>
      </c>
      <c r="I177">
        <f t="shared" si="12"/>
        <v>0</v>
      </c>
      <c r="J177" s="2">
        <v>23</v>
      </c>
      <c r="K177" s="2">
        <v>93.9</v>
      </c>
      <c r="L177" s="2">
        <v>2.71</v>
      </c>
      <c r="M177" s="2">
        <v>0</v>
      </c>
      <c r="N177" s="2">
        <v>3.1</v>
      </c>
      <c r="O177" s="2">
        <v>804264</v>
      </c>
      <c r="P177" s="2">
        <v>167117.91</v>
      </c>
      <c r="Q177">
        <f t="shared" si="13"/>
        <v>1</v>
      </c>
      <c r="R177">
        <f t="shared" si="14"/>
        <v>0</v>
      </c>
      <c r="S177">
        <f t="shared" si="15"/>
        <v>0</v>
      </c>
      <c r="T177">
        <f t="shared" si="16"/>
        <v>0</v>
      </c>
      <c r="U177">
        <f t="shared" si="17"/>
        <v>0</v>
      </c>
    </row>
    <row r="178" spans="1:21" ht="40.5" customHeight="1">
      <c r="A178" s="2" t="s">
        <v>66</v>
      </c>
      <c r="B178" s="3">
        <v>45658</v>
      </c>
      <c r="C178" s="2" t="s">
        <v>27</v>
      </c>
      <c r="D178" s="2" t="s">
        <v>21</v>
      </c>
      <c r="E178" s="2">
        <v>67494.09</v>
      </c>
      <c r="F178" s="2">
        <v>12361</v>
      </c>
      <c r="G178" s="2">
        <v>4.5999999999999999E-2</v>
      </c>
      <c r="H178" s="2">
        <v>76.599999999999994</v>
      </c>
      <c r="I178">
        <f t="shared" si="12"/>
        <v>0</v>
      </c>
      <c r="J178" s="2">
        <v>24</v>
      </c>
      <c r="K178" s="2">
        <v>76.599999999999994</v>
      </c>
      <c r="L178" s="2">
        <v>3.65</v>
      </c>
      <c r="M178" s="2">
        <v>1</v>
      </c>
      <c r="N178" s="2">
        <v>3.7</v>
      </c>
      <c r="O178" s="2">
        <v>887537.75</v>
      </c>
      <c r="P178" s="2">
        <v>160362.92000000001</v>
      </c>
      <c r="Q178">
        <f t="shared" si="13"/>
        <v>0</v>
      </c>
      <c r="R178">
        <f t="shared" si="14"/>
        <v>0</v>
      </c>
      <c r="S178">
        <f t="shared" si="15"/>
        <v>1</v>
      </c>
      <c r="T178">
        <f t="shared" si="16"/>
        <v>0</v>
      </c>
      <c r="U178">
        <f t="shared" si="17"/>
        <v>0</v>
      </c>
    </row>
    <row r="179" spans="1:21" ht="40.5" customHeight="1">
      <c r="A179" s="2" t="s">
        <v>66</v>
      </c>
      <c r="B179" s="3">
        <v>45689</v>
      </c>
      <c r="C179" s="2" t="s">
        <v>27</v>
      </c>
      <c r="D179" s="2" t="s">
        <v>21</v>
      </c>
      <c r="E179" s="2">
        <v>29389.32</v>
      </c>
      <c r="F179" s="2">
        <v>7925</v>
      </c>
      <c r="G179" s="2">
        <v>0.17699999999999999</v>
      </c>
      <c r="H179" s="2">
        <v>90.9</v>
      </c>
      <c r="I179">
        <f t="shared" si="12"/>
        <v>0</v>
      </c>
      <c r="J179" s="2">
        <v>21</v>
      </c>
      <c r="K179" s="2">
        <v>90.9</v>
      </c>
      <c r="L179" s="2">
        <v>7.86</v>
      </c>
      <c r="M179" s="2">
        <v>0</v>
      </c>
      <c r="N179" s="2">
        <v>4</v>
      </c>
      <c r="O179" s="2">
        <v>783582</v>
      </c>
      <c r="P179" s="2">
        <v>130670.93</v>
      </c>
      <c r="Q179">
        <f t="shared" si="13"/>
        <v>0</v>
      </c>
      <c r="R179">
        <f t="shared" si="14"/>
        <v>0</v>
      </c>
      <c r="S179">
        <f t="shared" si="15"/>
        <v>1</v>
      </c>
      <c r="T179">
        <f t="shared" si="16"/>
        <v>0</v>
      </c>
      <c r="U179">
        <f t="shared" si="17"/>
        <v>0</v>
      </c>
    </row>
    <row r="180" spans="1:21" ht="40.5" customHeight="1">
      <c r="A180" s="2" t="s">
        <v>66</v>
      </c>
      <c r="B180" s="3">
        <v>45717</v>
      </c>
      <c r="C180" s="2" t="s">
        <v>27</v>
      </c>
      <c r="D180" s="2" t="s">
        <v>21</v>
      </c>
      <c r="E180" s="2">
        <v>40535.089999999997</v>
      </c>
      <c r="F180" s="2">
        <v>8870</v>
      </c>
      <c r="G180" s="2">
        <v>4.1000000000000002E-2</v>
      </c>
      <c r="H180" s="2">
        <v>86.6</v>
      </c>
      <c r="I180">
        <f t="shared" si="12"/>
        <v>0</v>
      </c>
      <c r="J180" s="2">
        <v>21</v>
      </c>
      <c r="K180" s="2">
        <v>86.6</v>
      </c>
      <c r="L180" s="2">
        <v>0.3</v>
      </c>
      <c r="M180" s="2">
        <v>0</v>
      </c>
      <c r="N180" s="2">
        <v>4.0999999999999996</v>
      </c>
      <c r="O180" s="2">
        <v>781955.52</v>
      </c>
      <c r="P180" s="2">
        <v>152578.71</v>
      </c>
      <c r="Q180">
        <f t="shared" si="13"/>
        <v>0</v>
      </c>
      <c r="R180">
        <f t="shared" si="14"/>
        <v>0</v>
      </c>
      <c r="S180">
        <f t="shared" si="15"/>
        <v>1</v>
      </c>
      <c r="T180">
        <f t="shared" si="16"/>
        <v>0</v>
      </c>
      <c r="U180">
        <f t="shared" si="17"/>
        <v>0</v>
      </c>
    </row>
    <row r="181" spans="1:21" ht="40.5" customHeight="1">
      <c r="A181" s="2" t="s">
        <v>66</v>
      </c>
      <c r="B181" s="3">
        <v>45748</v>
      </c>
      <c r="C181" s="2" t="s">
        <v>27</v>
      </c>
      <c r="D181" s="2" t="s">
        <v>21</v>
      </c>
      <c r="E181" s="2">
        <v>74881.56</v>
      </c>
      <c r="F181" s="2">
        <v>9999</v>
      </c>
      <c r="G181" s="2">
        <v>1.2999999999999999E-2</v>
      </c>
      <c r="H181" s="2">
        <v>89.6</v>
      </c>
      <c r="I181">
        <f t="shared" si="12"/>
        <v>0</v>
      </c>
      <c r="J181" s="2">
        <v>20</v>
      </c>
      <c r="K181" s="2">
        <v>89.6</v>
      </c>
      <c r="L181" s="2">
        <v>8.44</v>
      </c>
      <c r="M181" s="2">
        <v>0</v>
      </c>
      <c r="N181" s="2">
        <v>4.0999999999999996</v>
      </c>
      <c r="O181" s="2">
        <v>898031.04</v>
      </c>
      <c r="P181" s="2">
        <v>138666.5</v>
      </c>
      <c r="Q181">
        <f t="shared" si="13"/>
        <v>0</v>
      </c>
      <c r="R181">
        <f t="shared" si="14"/>
        <v>0</v>
      </c>
      <c r="S181">
        <f t="shared" si="15"/>
        <v>1</v>
      </c>
      <c r="T181">
        <f t="shared" si="16"/>
        <v>0</v>
      </c>
      <c r="U181">
        <f t="shared" si="17"/>
        <v>0</v>
      </c>
    </row>
    <row r="182" spans="1:21" ht="40.5" customHeight="1">
      <c r="A182" s="2" t="s">
        <v>67</v>
      </c>
      <c r="B182" s="3">
        <v>45658</v>
      </c>
      <c r="C182" s="2" t="s">
        <v>27</v>
      </c>
      <c r="D182" s="2" t="s">
        <v>16</v>
      </c>
      <c r="E182" s="2">
        <v>68491.11</v>
      </c>
      <c r="F182" s="2">
        <v>11154</v>
      </c>
      <c r="G182" s="2">
        <v>1E-3</v>
      </c>
      <c r="H182" s="2">
        <v>89.4</v>
      </c>
      <c r="I182">
        <f t="shared" si="12"/>
        <v>0</v>
      </c>
      <c r="J182" s="2">
        <v>24</v>
      </c>
      <c r="K182" s="2">
        <v>89.4</v>
      </c>
      <c r="L182" s="2">
        <v>5.27</v>
      </c>
      <c r="M182" s="2">
        <v>1</v>
      </c>
      <c r="N182" s="2">
        <v>3.9</v>
      </c>
      <c r="O182" s="2">
        <v>855341.28</v>
      </c>
      <c r="P182" s="2">
        <v>175823.8</v>
      </c>
      <c r="Q182">
        <f t="shared" si="13"/>
        <v>0</v>
      </c>
      <c r="R182">
        <f t="shared" si="14"/>
        <v>0</v>
      </c>
      <c r="S182">
        <f t="shared" si="15"/>
        <v>0</v>
      </c>
      <c r="T182">
        <f t="shared" si="16"/>
        <v>0</v>
      </c>
      <c r="U182">
        <f t="shared" si="17"/>
        <v>0</v>
      </c>
    </row>
    <row r="183" spans="1:21" ht="40.5" customHeight="1">
      <c r="A183" s="2" t="s">
        <v>67</v>
      </c>
      <c r="B183" s="3">
        <v>45689</v>
      </c>
      <c r="C183" s="2" t="s">
        <v>27</v>
      </c>
      <c r="D183" s="2" t="s">
        <v>16</v>
      </c>
      <c r="E183" s="2">
        <v>45209.25</v>
      </c>
      <c r="F183" s="2">
        <v>9287</v>
      </c>
      <c r="G183" s="2">
        <v>0.14099999999999999</v>
      </c>
      <c r="H183" s="2">
        <v>86.4</v>
      </c>
      <c r="I183">
        <f t="shared" si="12"/>
        <v>0</v>
      </c>
      <c r="J183" s="2">
        <v>22</v>
      </c>
      <c r="K183" s="2">
        <v>86.4</v>
      </c>
      <c r="L183" s="2">
        <v>13.22</v>
      </c>
      <c r="M183" s="2">
        <v>0</v>
      </c>
      <c r="N183" s="2">
        <v>3.6</v>
      </c>
      <c r="O183" s="2">
        <v>751393.88</v>
      </c>
      <c r="P183" s="2">
        <v>91480.320000000007</v>
      </c>
      <c r="Q183">
        <f t="shared" si="13"/>
        <v>0</v>
      </c>
      <c r="R183">
        <f t="shared" si="14"/>
        <v>0</v>
      </c>
      <c r="S183">
        <f t="shared" si="15"/>
        <v>0</v>
      </c>
      <c r="T183">
        <f t="shared" si="16"/>
        <v>0</v>
      </c>
      <c r="U183">
        <f t="shared" si="17"/>
        <v>0</v>
      </c>
    </row>
    <row r="184" spans="1:21" ht="40.5" customHeight="1">
      <c r="A184" s="2" t="s">
        <v>67</v>
      </c>
      <c r="B184" s="3">
        <v>45717</v>
      </c>
      <c r="C184" s="2" t="s">
        <v>27</v>
      </c>
      <c r="D184" s="2" t="s">
        <v>16</v>
      </c>
      <c r="E184" s="2">
        <v>63010.23</v>
      </c>
      <c r="F184" s="2">
        <v>9812</v>
      </c>
      <c r="G184" s="2">
        <v>0.113</v>
      </c>
      <c r="H184" s="2">
        <v>76.8</v>
      </c>
      <c r="I184">
        <f t="shared" si="12"/>
        <v>0</v>
      </c>
      <c r="J184" s="2">
        <v>24</v>
      </c>
      <c r="K184" s="2">
        <v>76.8</v>
      </c>
      <c r="L184" s="2">
        <v>1.02</v>
      </c>
      <c r="M184" s="2">
        <v>1</v>
      </c>
      <c r="N184" s="2">
        <v>3.8</v>
      </c>
      <c r="O184" s="2">
        <v>761077.08</v>
      </c>
      <c r="P184" s="2">
        <v>113605.93</v>
      </c>
      <c r="Q184">
        <f t="shared" si="13"/>
        <v>0</v>
      </c>
      <c r="R184">
        <f t="shared" si="14"/>
        <v>0</v>
      </c>
      <c r="S184">
        <f t="shared" si="15"/>
        <v>0</v>
      </c>
      <c r="T184">
        <f t="shared" si="16"/>
        <v>0</v>
      </c>
      <c r="U184">
        <f t="shared" si="17"/>
        <v>0</v>
      </c>
    </row>
    <row r="185" spans="1:21" ht="40.5" customHeight="1">
      <c r="A185" s="2" t="s">
        <v>67</v>
      </c>
      <c r="B185" s="3">
        <v>45748</v>
      </c>
      <c r="C185" s="2" t="s">
        <v>27</v>
      </c>
      <c r="D185" s="2" t="s">
        <v>16</v>
      </c>
      <c r="E185" s="2">
        <v>57948.88</v>
      </c>
      <c r="F185" s="2">
        <v>10741</v>
      </c>
      <c r="G185" s="2">
        <v>7.0000000000000007E-2</v>
      </c>
      <c r="H185" s="2">
        <v>90.1</v>
      </c>
      <c r="I185">
        <f t="shared" si="12"/>
        <v>0</v>
      </c>
      <c r="J185" s="2">
        <v>25</v>
      </c>
      <c r="K185" s="2">
        <v>90.1</v>
      </c>
      <c r="L185" s="2">
        <v>4.03</v>
      </c>
      <c r="M185" s="2">
        <v>0</v>
      </c>
      <c r="N185" s="2">
        <v>3.1</v>
      </c>
      <c r="O185" s="2">
        <v>819660.59</v>
      </c>
      <c r="P185" s="2">
        <v>172699.95</v>
      </c>
      <c r="Q185">
        <f t="shared" si="13"/>
        <v>0</v>
      </c>
      <c r="R185">
        <f t="shared" si="14"/>
        <v>0</v>
      </c>
      <c r="S185">
        <f t="shared" si="15"/>
        <v>0</v>
      </c>
      <c r="T185">
        <f t="shared" si="16"/>
        <v>0</v>
      </c>
      <c r="U185">
        <f t="shared" si="17"/>
        <v>0</v>
      </c>
    </row>
    <row r="186" spans="1:21" ht="40.5" customHeight="1">
      <c r="A186" s="2" t="s">
        <v>68</v>
      </c>
      <c r="B186" s="3">
        <v>45658</v>
      </c>
      <c r="C186" s="2" t="s">
        <v>20</v>
      </c>
      <c r="D186" s="2" t="s">
        <v>18</v>
      </c>
      <c r="E186" s="2">
        <v>71941.62</v>
      </c>
      <c r="F186" s="2">
        <v>6084</v>
      </c>
      <c r="G186" s="2">
        <v>7.1999999999999995E-2</v>
      </c>
      <c r="H186" s="2">
        <v>93.7</v>
      </c>
      <c r="I186">
        <f t="shared" si="12"/>
        <v>1</v>
      </c>
      <c r="J186" s="2">
        <v>13</v>
      </c>
      <c r="K186" s="2">
        <v>93.7</v>
      </c>
      <c r="L186" s="2">
        <v>2.34</v>
      </c>
      <c r="M186" s="2">
        <v>0</v>
      </c>
      <c r="N186" s="2">
        <v>4.4000000000000004</v>
      </c>
      <c r="O186" s="2">
        <v>681855.56</v>
      </c>
      <c r="P186" s="2">
        <v>117645.61</v>
      </c>
      <c r="Q186">
        <f t="shared" si="13"/>
        <v>0</v>
      </c>
      <c r="R186">
        <f t="shared" si="14"/>
        <v>0</v>
      </c>
      <c r="S186">
        <f t="shared" si="15"/>
        <v>0</v>
      </c>
      <c r="T186">
        <f t="shared" si="16"/>
        <v>1</v>
      </c>
      <c r="U186">
        <f t="shared" si="17"/>
        <v>0</v>
      </c>
    </row>
    <row r="187" spans="1:21" ht="40.5" customHeight="1">
      <c r="A187" s="2" t="s">
        <v>68</v>
      </c>
      <c r="B187" s="3">
        <v>45689</v>
      </c>
      <c r="C187" s="2" t="s">
        <v>20</v>
      </c>
      <c r="D187" s="2" t="s">
        <v>18</v>
      </c>
      <c r="E187" s="2">
        <v>57147.88</v>
      </c>
      <c r="F187" s="2">
        <v>5252</v>
      </c>
      <c r="G187" s="2">
        <v>0.161</v>
      </c>
      <c r="H187" s="2">
        <v>95.5</v>
      </c>
      <c r="I187">
        <f t="shared" si="12"/>
        <v>1</v>
      </c>
      <c r="J187" s="2">
        <v>15</v>
      </c>
      <c r="K187" s="2">
        <v>95.5</v>
      </c>
      <c r="L187" s="2">
        <v>8.51</v>
      </c>
      <c r="M187" s="2">
        <v>0</v>
      </c>
      <c r="N187" s="2">
        <v>4.4000000000000004</v>
      </c>
      <c r="O187" s="2">
        <v>678311.17</v>
      </c>
      <c r="P187" s="2">
        <v>132029.76000000001</v>
      </c>
      <c r="Q187">
        <f t="shared" si="13"/>
        <v>0</v>
      </c>
      <c r="R187">
        <f t="shared" si="14"/>
        <v>0</v>
      </c>
      <c r="S187">
        <f t="shared" si="15"/>
        <v>0</v>
      </c>
      <c r="T187">
        <f t="shared" si="16"/>
        <v>1</v>
      </c>
      <c r="U187">
        <f t="shared" si="17"/>
        <v>0</v>
      </c>
    </row>
    <row r="188" spans="1:21" ht="40.5" customHeight="1">
      <c r="A188" s="2" t="s">
        <v>68</v>
      </c>
      <c r="B188" s="3">
        <v>45717</v>
      </c>
      <c r="C188" s="2" t="s">
        <v>20</v>
      </c>
      <c r="D188" s="2" t="s">
        <v>18</v>
      </c>
      <c r="E188" s="2">
        <v>48031.74</v>
      </c>
      <c r="F188" s="2">
        <v>6516</v>
      </c>
      <c r="G188" s="2">
        <v>6.7000000000000004E-2</v>
      </c>
      <c r="H188" s="2">
        <v>99</v>
      </c>
      <c r="I188">
        <f t="shared" si="12"/>
        <v>1</v>
      </c>
      <c r="J188" s="2">
        <v>14</v>
      </c>
      <c r="K188" s="2">
        <v>99</v>
      </c>
      <c r="L188" s="2">
        <v>0.48</v>
      </c>
      <c r="M188" s="2">
        <v>1</v>
      </c>
      <c r="N188" s="2">
        <v>4.3</v>
      </c>
      <c r="O188" s="2">
        <v>765906.95</v>
      </c>
      <c r="P188" s="2">
        <v>114005.9</v>
      </c>
      <c r="Q188">
        <f t="shared" si="13"/>
        <v>0</v>
      </c>
      <c r="R188">
        <f t="shared" si="14"/>
        <v>0</v>
      </c>
      <c r="S188">
        <f t="shared" si="15"/>
        <v>0</v>
      </c>
      <c r="T188">
        <f t="shared" si="16"/>
        <v>1</v>
      </c>
      <c r="U188">
        <f t="shared" si="17"/>
        <v>0</v>
      </c>
    </row>
    <row r="189" spans="1:21" ht="40.5" customHeight="1">
      <c r="A189" s="2" t="s">
        <v>68</v>
      </c>
      <c r="B189" s="3">
        <v>45748</v>
      </c>
      <c r="C189" s="2" t="s">
        <v>20</v>
      </c>
      <c r="D189" s="2" t="s">
        <v>18</v>
      </c>
      <c r="E189" s="2">
        <v>72784.800000000003</v>
      </c>
      <c r="F189" s="2">
        <v>7932</v>
      </c>
      <c r="G189" s="2">
        <v>9.4E-2</v>
      </c>
      <c r="H189" s="2">
        <v>74.900000000000006</v>
      </c>
      <c r="I189">
        <f t="shared" si="12"/>
        <v>1</v>
      </c>
      <c r="J189" s="2">
        <v>20</v>
      </c>
      <c r="K189" s="2">
        <v>74.900000000000006</v>
      </c>
      <c r="L189" s="2">
        <v>13.62</v>
      </c>
      <c r="M189" s="2">
        <v>0</v>
      </c>
      <c r="N189" s="2">
        <v>4.2</v>
      </c>
      <c r="O189" s="2">
        <v>712546.38</v>
      </c>
      <c r="P189" s="2">
        <v>101480.04</v>
      </c>
      <c r="Q189">
        <f t="shared" si="13"/>
        <v>0</v>
      </c>
      <c r="R189">
        <f t="shared" si="14"/>
        <v>0</v>
      </c>
      <c r="S189">
        <f t="shared" si="15"/>
        <v>0</v>
      </c>
      <c r="T189">
        <f t="shared" si="16"/>
        <v>1</v>
      </c>
      <c r="U189">
        <f t="shared" si="17"/>
        <v>0</v>
      </c>
    </row>
    <row r="190" spans="1:21" ht="40.5" customHeight="1">
      <c r="A190" s="2" t="s">
        <v>69</v>
      </c>
      <c r="B190" s="3">
        <v>45658</v>
      </c>
      <c r="C190" s="2" t="s">
        <v>15</v>
      </c>
      <c r="D190" s="2" t="s">
        <v>18</v>
      </c>
      <c r="E190" s="2">
        <v>71641.899999999994</v>
      </c>
      <c r="F190" s="2">
        <v>3506</v>
      </c>
      <c r="G190" s="2">
        <v>0</v>
      </c>
      <c r="H190" s="2">
        <v>86.4</v>
      </c>
      <c r="I190">
        <f t="shared" si="12"/>
        <v>0</v>
      </c>
      <c r="J190" s="2">
        <v>11</v>
      </c>
      <c r="K190" s="2">
        <v>86.4</v>
      </c>
      <c r="L190" s="2">
        <v>7.77</v>
      </c>
      <c r="M190" s="2">
        <v>0</v>
      </c>
      <c r="N190" s="2">
        <v>4.0999999999999996</v>
      </c>
      <c r="O190" s="2">
        <v>625993.82999999996</v>
      </c>
      <c r="P190" s="2">
        <v>98960.320000000007</v>
      </c>
      <c r="Q190">
        <f t="shared" si="13"/>
        <v>1</v>
      </c>
      <c r="R190">
        <f t="shared" si="14"/>
        <v>0</v>
      </c>
      <c r="S190">
        <f t="shared" si="15"/>
        <v>0</v>
      </c>
      <c r="T190">
        <f t="shared" si="16"/>
        <v>1</v>
      </c>
      <c r="U190">
        <f t="shared" si="17"/>
        <v>0</v>
      </c>
    </row>
    <row r="191" spans="1:21" ht="40.5" customHeight="1">
      <c r="A191" s="2" t="s">
        <v>69</v>
      </c>
      <c r="B191" s="3">
        <v>45689</v>
      </c>
      <c r="C191" s="2" t="s">
        <v>15</v>
      </c>
      <c r="D191" s="2" t="s">
        <v>18</v>
      </c>
      <c r="E191" s="2">
        <v>55788.61</v>
      </c>
      <c r="F191" s="2">
        <v>2312</v>
      </c>
      <c r="G191" s="2">
        <v>5.8000000000000003E-2</v>
      </c>
      <c r="H191" s="2">
        <v>91.3</v>
      </c>
      <c r="I191">
        <f t="shared" si="12"/>
        <v>0</v>
      </c>
      <c r="J191" s="2">
        <v>10</v>
      </c>
      <c r="K191" s="2">
        <v>91.3</v>
      </c>
      <c r="L191" s="2">
        <v>1.99</v>
      </c>
      <c r="M191" s="2">
        <v>0</v>
      </c>
      <c r="N191" s="2">
        <v>3.8</v>
      </c>
      <c r="O191" s="2">
        <v>550962.93000000005</v>
      </c>
      <c r="P191" s="2">
        <v>97144.58</v>
      </c>
      <c r="Q191">
        <f t="shared" si="13"/>
        <v>1</v>
      </c>
      <c r="R191">
        <f t="shared" si="14"/>
        <v>0</v>
      </c>
      <c r="S191">
        <f t="shared" si="15"/>
        <v>0</v>
      </c>
      <c r="T191">
        <f t="shared" si="16"/>
        <v>1</v>
      </c>
      <c r="U191">
        <f t="shared" si="17"/>
        <v>0</v>
      </c>
    </row>
    <row r="192" spans="1:21" ht="40.5" customHeight="1">
      <c r="A192" s="2" t="s">
        <v>69</v>
      </c>
      <c r="B192" s="3">
        <v>45717</v>
      </c>
      <c r="C192" s="2" t="s">
        <v>15</v>
      </c>
      <c r="D192" s="2" t="s">
        <v>18</v>
      </c>
      <c r="E192" s="2">
        <v>37705.879999999997</v>
      </c>
      <c r="F192" s="2">
        <v>1268</v>
      </c>
      <c r="G192" s="2">
        <v>0.25900000000000001</v>
      </c>
      <c r="H192" s="2">
        <v>84.1</v>
      </c>
      <c r="I192">
        <f t="shared" si="12"/>
        <v>0</v>
      </c>
      <c r="J192" s="2">
        <v>9</v>
      </c>
      <c r="K192" s="2">
        <v>84.1</v>
      </c>
      <c r="L192" s="2">
        <v>4.7699999999999996</v>
      </c>
      <c r="M192" s="2">
        <v>0</v>
      </c>
      <c r="N192" s="2">
        <v>3.8</v>
      </c>
      <c r="O192" s="2">
        <v>443275.59</v>
      </c>
      <c r="P192" s="2">
        <v>53544.36</v>
      </c>
      <c r="Q192">
        <f t="shared" si="13"/>
        <v>1</v>
      </c>
      <c r="R192">
        <f t="shared" si="14"/>
        <v>0</v>
      </c>
      <c r="S192">
        <f t="shared" si="15"/>
        <v>0</v>
      </c>
      <c r="T192">
        <f t="shared" si="16"/>
        <v>1</v>
      </c>
      <c r="U192">
        <f t="shared" si="17"/>
        <v>0</v>
      </c>
    </row>
    <row r="193" spans="1:21" ht="40.5" customHeight="1">
      <c r="A193" s="2" t="s">
        <v>69</v>
      </c>
      <c r="B193" s="3">
        <v>45748</v>
      </c>
      <c r="C193" s="2" t="s">
        <v>15</v>
      </c>
      <c r="D193" s="2" t="s">
        <v>18</v>
      </c>
      <c r="E193" s="2">
        <v>54966.18</v>
      </c>
      <c r="F193" s="2">
        <v>4423</v>
      </c>
      <c r="G193" s="2">
        <v>0.186</v>
      </c>
      <c r="H193" s="2">
        <v>88.7</v>
      </c>
      <c r="I193">
        <f t="shared" si="12"/>
        <v>0</v>
      </c>
      <c r="J193" s="2">
        <v>13</v>
      </c>
      <c r="K193" s="2">
        <v>88.7</v>
      </c>
      <c r="L193" s="2">
        <v>0.2</v>
      </c>
      <c r="M193" s="2">
        <v>0</v>
      </c>
      <c r="N193" s="2">
        <v>4.4000000000000004</v>
      </c>
      <c r="O193" s="2">
        <v>554012.06999999995</v>
      </c>
      <c r="P193" s="2">
        <v>81101.62</v>
      </c>
      <c r="Q193">
        <f t="shared" si="13"/>
        <v>1</v>
      </c>
      <c r="R193">
        <f t="shared" si="14"/>
        <v>0</v>
      </c>
      <c r="S193">
        <f t="shared" si="15"/>
        <v>0</v>
      </c>
      <c r="T193">
        <f t="shared" si="16"/>
        <v>1</v>
      </c>
      <c r="U193">
        <f t="shared" si="17"/>
        <v>0</v>
      </c>
    </row>
    <row r="194" spans="1:21" ht="40.5" customHeight="1">
      <c r="A194" s="2" t="s">
        <v>70</v>
      </c>
      <c r="B194" s="3">
        <v>45658</v>
      </c>
      <c r="C194" s="2" t="s">
        <v>27</v>
      </c>
      <c r="D194" s="2" t="s">
        <v>16</v>
      </c>
      <c r="E194" s="2">
        <v>81796.740000000005</v>
      </c>
      <c r="F194" s="2">
        <v>6177</v>
      </c>
      <c r="G194" s="2">
        <v>0.16400000000000001</v>
      </c>
      <c r="H194" s="2">
        <v>87.9</v>
      </c>
      <c r="I194">
        <f t="shared" ref="I194:I257" si="18">IF(C194="North",1,0)</f>
        <v>0</v>
      </c>
      <c r="J194" s="2">
        <v>14</v>
      </c>
      <c r="K194" s="2">
        <v>87.9</v>
      </c>
      <c r="L194" s="2">
        <v>0.53</v>
      </c>
      <c r="M194" s="2">
        <v>0</v>
      </c>
      <c r="N194" s="2">
        <v>3.2</v>
      </c>
      <c r="O194" s="2">
        <v>643428.85</v>
      </c>
      <c r="P194" s="2">
        <v>94477.63</v>
      </c>
      <c r="Q194">
        <f t="shared" si="13"/>
        <v>0</v>
      </c>
      <c r="R194">
        <f t="shared" si="14"/>
        <v>0</v>
      </c>
      <c r="S194">
        <f t="shared" si="15"/>
        <v>0</v>
      </c>
      <c r="T194">
        <f t="shared" si="16"/>
        <v>0</v>
      </c>
      <c r="U194">
        <f t="shared" si="17"/>
        <v>0</v>
      </c>
    </row>
    <row r="195" spans="1:21" ht="40.5" customHeight="1">
      <c r="A195" s="2" t="s">
        <v>70</v>
      </c>
      <c r="B195" s="3">
        <v>45689</v>
      </c>
      <c r="C195" s="2" t="s">
        <v>27</v>
      </c>
      <c r="D195" s="2" t="s">
        <v>16</v>
      </c>
      <c r="E195" s="2">
        <v>51133.43</v>
      </c>
      <c r="F195" s="2">
        <v>5150</v>
      </c>
      <c r="G195" s="2">
        <v>0.15</v>
      </c>
      <c r="H195" s="2">
        <v>88.5</v>
      </c>
      <c r="I195">
        <f t="shared" si="18"/>
        <v>0</v>
      </c>
      <c r="J195" s="2">
        <v>12</v>
      </c>
      <c r="K195" s="2">
        <v>88.5</v>
      </c>
      <c r="L195" s="2">
        <v>1.54</v>
      </c>
      <c r="M195" s="2">
        <v>0</v>
      </c>
      <c r="N195" s="2">
        <v>3.2</v>
      </c>
      <c r="O195" s="2">
        <v>611924.27</v>
      </c>
      <c r="P195" s="2">
        <v>115488.75</v>
      </c>
      <c r="Q195">
        <f t="shared" ref="Q195:Q258" si="19">IF(C195="East",1,0)</f>
        <v>0</v>
      </c>
      <c r="R195">
        <f t="shared" ref="R195:R258" si="20">IF(C195="South",1,0)</f>
        <v>0</v>
      </c>
      <c r="S195">
        <f t="shared" ref="S195:S258" si="21">IF(D195="Airport",1,0)</f>
        <v>0</v>
      </c>
      <c r="T195">
        <f t="shared" ref="T195:T258" si="22">IF(D195="High Street",1,0)</f>
        <v>0</v>
      </c>
      <c r="U195">
        <f t="shared" ref="U195:U258" si="23">IF(D195="Mall",1,0)</f>
        <v>0</v>
      </c>
    </row>
    <row r="196" spans="1:21" ht="40.5" customHeight="1">
      <c r="A196" s="2" t="s">
        <v>70</v>
      </c>
      <c r="B196" s="3">
        <v>45717</v>
      </c>
      <c r="C196" s="2" t="s">
        <v>27</v>
      </c>
      <c r="D196" s="2" t="s">
        <v>16</v>
      </c>
      <c r="E196" s="2">
        <v>40220.18</v>
      </c>
      <c r="F196" s="2">
        <v>3783</v>
      </c>
      <c r="G196" s="2">
        <v>8.8999999999999996E-2</v>
      </c>
      <c r="H196" s="2">
        <v>86.6</v>
      </c>
      <c r="I196">
        <f t="shared" si="18"/>
        <v>0</v>
      </c>
      <c r="J196" s="2">
        <v>14</v>
      </c>
      <c r="K196" s="2">
        <v>86.6</v>
      </c>
      <c r="L196" s="2">
        <v>3.63</v>
      </c>
      <c r="M196" s="2">
        <v>0</v>
      </c>
      <c r="N196" s="2">
        <v>3.7</v>
      </c>
      <c r="O196" s="2">
        <v>559422.02</v>
      </c>
      <c r="P196" s="2">
        <v>73528.740000000005</v>
      </c>
      <c r="Q196">
        <f t="shared" si="19"/>
        <v>0</v>
      </c>
      <c r="R196">
        <f t="shared" si="20"/>
        <v>0</v>
      </c>
      <c r="S196">
        <f t="shared" si="21"/>
        <v>0</v>
      </c>
      <c r="T196">
        <f t="shared" si="22"/>
        <v>0</v>
      </c>
      <c r="U196">
        <f t="shared" si="23"/>
        <v>0</v>
      </c>
    </row>
    <row r="197" spans="1:21" ht="40.5" customHeight="1">
      <c r="A197" s="2" t="s">
        <v>70</v>
      </c>
      <c r="B197" s="3">
        <v>45748</v>
      </c>
      <c r="C197" s="2" t="s">
        <v>27</v>
      </c>
      <c r="D197" s="2" t="s">
        <v>16</v>
      </c>
      <c r="E197" s="2">
        <v>41657.64</v>
      </c>
      <c r="F197" s="2">
        <v>3135</v>
      </c>
      <c r="G197" s="2">
        <v>0.22900000000000001</v>
      </c>
      <c r="H197" s="2">
        <v>85.4</v>
      </c>
      <c r="I197">
        <f t="shared" si="18"/>
        <v>0</v>
      </c>
      <c r="J197" s="2">
        <v>7</v>
      </c>
      <c r="K197" s="2">
        <v>85.4</v>
      </c>
      <c r="L197" s="2">
        <v>13.48</v>
      </c>
      <c r="M197" s="2">
        <v>0</v>
      </c>
      <c r="N197" s="2"/>
      <c r="O197" s="2">
        <v>449465.06</v>
      </c>
      <c r="P197" s="2">
        <v>65694.78</v>
      </c>
      <c r="Q197">
        <f t="shared" si="19"/>
        <v>0</v>
      </c>
      <c r="R197">
        <f t="shared" si="20"/>
        <v>0</v>
      </c>
      <c r="S197">
        <f t="shared" si="21"/>
        <v>0</v>
      </c>
      <c r="T197">
        <f t="shared" si="22"/>
        <v>0</v>
      </c>
      <c r="U197">
        <f t="shared" si="23"/>
        <v>0</v>
      </c>
    </row>
    <row r="198" spans="1:21" ht="40.5" customHeight="1">
      <c r="A198" s="2" t="s">
        <v>71</v>
      </c>
      <c r="B198" s="3">
        <v>45658</v>
      </c>
      <c r="C198" s="2" t="s">
        <v>20</v>
      </c>
      <c r="D198" s="2" t="s">
        <v>16</v>
      </c>
      <c r="E198" s="2">
        <v>71851.45</v>
      </c>
      <c r="F198" s="2">
        <v>4970</v>
      </c>
      <c r="G198" s="2">
        <v>9.8000000000000004E-2</v>
      </c>
      <c r="H198" s="2">
        <v>89.6</v>
      </c>
      <c r="I198">
        <f t="shared" si="18"/>
        <v>1</v>
      </c>
      <c r="J198" s="2">
        <v>11</v>
      </c>
      <c r="K198" s="2">
        <v>89.6</v>
      </c>
      <c r="L198" s="2">
        <v>0.2</v>
      </c>
      <c r="M198" s="2">
        <v>0</v>
      </c>
      <c r="N198" s="2">
        <v>4.2</v>
      </c>
      <c r="O198" s="2">
        <v>691447.43</v>
      </c>
      <c r="P198" s="2">
        <v>114077.69</v>
      </c>
      <c r="Q198">
        <f t="shared" si="19"/>
        <v>0</v>
      </c>
      <c r="R198">
        <f t="shared" si="20"/>
        <v>0</v>
      </c>
      <c r="S198">
        <f t="shared" si="21"/>
        <v>0</v>
      </c>
      <c r="T198">
        <f t="shared" si="22"/>
        <v>0</v>
      </c>
      <c r="U198">
        <f t="shared" si="23"/>
        <v>0</v>
      </c>
    </row>
    <row r="199" spans="1:21" ht="40.5" customHeight="1">
      <c r="A199" s="2" t="s">
        <v>71</v>
      </c>
      <c r="B199" s="3">
        <v>45689</v>
      </c>
      <c r="C199" s="2" t="s">
        <v>20</v>
      </c>
      <c r="D199" s="2" t="s">
        <v>16</v>
      </c>
      <c r="E199" s="2">
        <v>54002.83</v>
      </c>
      <c r="F199" s="2">
        <v>4366</v>
      </c>
      <c r="G199" s="2">
        <v>2.7E-2</v>
      </c>
      <c r="H199" s="2">
        <v>90.6</v>
      </c>
      <c r="I199">
        <f t="shared" si="18"/>
        <v>1</v>
      </c>
      <c r="J199" s="2">
        <v>15</v>
      </c>
      <c r="K199" s="2">
        <v>90.6</v>
      </c>
      <c r="L199" s="2">
        <v>12.82</v>
      </c>
      <c r="M199" s="2">
        <v>0</v>
      </c>
      <c r="N199" s="2">
        <v>4.5999999999999996</v>
      </c>
      <c r="O199" s="2">
        <v>574066.61</v>
      </c>
      <c r="P199" s="2">
        <v>124674.67</v>
      </c>
      <c r="Q199">
        <f t="shared" si="19"/>
        <v>0</v>
      </c>
      <c r="R199">
        <f t="shared" si="20"/>
        <v>0</v>
      </c>
      <c r="S199">
        <f t="shared" si="21"/>
        <v>0</v>
      </c>
      <c r="T199">
        <f t="shared" si="22"/>
        <v>0</v>
      </c>
      <c r="U199">
        <f t="shared" si="23"/>
        <v>0</v>
      </c>
    </row>
    <row r="200" spans="1:21" ht="40.5" customHeight="1">
      <c r="A200" s="2" t="s">
        <v>71</v>
      </c>
      <c r="B200" s="3">
        <v>45717</v>
      </c>
      <c r="C200" s="2" t="s">
        <v>20</v>
      </c>
      <c r="D200" s="2" t="s">
        <v>16</v>
      </c>
      <c r="E200" s="2">
        <v>54479.33</v>
      </c>
      <c r="F200" s="2">
        <v>5012</v>
      </c>
      <c r="G200" s="2">
        <v>0.28399999999999997</v>
      </c>
      <c r="H200" s="2">
        <v>86</v>
      </c>
      <c r="I200">
        <f t="shared" si="18"/>
        <v>1</v>
      </c>
      <c r="J200" s="2">
        <v>13</v>
      </c>
      <c r="K200" s="2">
        <v>86</v>
      </c>
      <c r="L200" s="2">
        <v>2.2400000000000002</v>
      </c>
      <c r="M200" s="2">
        <v>1</v>
      </c>
      <c r="N200" s="2">
        <v>4.3</v>
      </c>
      <c r="O200" s="2">
        <v>578949.84</v>
      </c>
      <c r="P200" s="2">
        <v>80253.649999999994</v>
      </c>
      <c r="Q200">
        <f t="shared" si="19"/>
        <v>0</v>
      </c>
      <c r="R200">
        <f t="shared" si="20"/>
        <v>0</v>
      </c>
      <c r="S200">
        <f t="shared" si="21"/>
        <v>0</v>
      </c>
      <c r="T200">
        <f t="shared" si="22"/>
        <v>0</v>
      </c>
      <c r="U200">
        <f t="shared" si="23"/>
        <v>0</v>
      </c>
    </row>
    <row r="201" spans="1:21" ht="40.5" customHeight="1">
      <c r="A201" s="2" t="s">
        <v>71</v>
      </c>
      <c r="B201" s="3">
        <v>45748</v>
      </c>
      <c r="C201" s="2" t="s">
        <v>20</v>
      </c>
      <c r="D201" s="2" t="s">
        <v>16</v>
      </c>
      <c r="E201" s="2">
        <v>61391.8</v>
      </c>
      <c r="F201" s="2">
        <v>5575</v>
      </c>
      <c r="G201" s="2">
        <v>0.189</v>
      </c>
      <c r="H201" s="2">
        <v>90</v>
      </c>
      <c r="I201">
        <f t="shared" si="18"/>
        <v>1</v>
      </c>
      <c r="J201" s="2">
        <v>18</v>
      </c>
      <c r="K201" s="2">
        <v>90</v>
      </c>
      <c r="L201" s="2">
        <v>1.8</v>
      </c>
      <c r="M201" s="2">
        <v>0</v>
      </c>
      <c r="N201" s="2">
        <v>4.8</v>
      </c>
      <c r="O201" s="2">
        <v>735786.64</v>
      </c>
      <c r="P201" s="2">
        <v>126540.66</v>
      </c>
      <c r="Q201">
        <f t="shared" si="19"/>
        <v>0</v>
      </c>
      <c r="R201">
        <f t="shared" si="20"/>
        <v>0</v>
      </c>
      <c r="S201">
        <f t="shared" si="21"/>
        <v>0</v>
      </c>
      <c r="T201">
        <f t="shared" si="22"/>
        <v>0</v>
      </c>
      <c r="U201">
        <f t="shared" si="23"/>
        <v>0</v>
      </c>
    </row>
    <row r="202" spans="1:21" ht="40.5" customHeight="1">
      <c r="A202" s="2" t="s">
        <v>72</v>
      </c>
      <c r="B202" s="3">
        <v>45658</v>
      </c>
      <c r="C202" s="2" t="s">
        <v>15</v>
      </c>
      <c r="D202" s="2" t="s">
        <v>21</v>
      </c>
      <c r="E202" s="2">
        <v>22312.93</v>
      </c>
      <c r="F202" s="2">
        <v>5955</v>
      </c>
      <c r="G202" s="2">
        <v>0.123</v>
      </c>
      <c r="H202" s="2">
        <v>84.2</v>
      </c>
      <c r="I202">
        <f t="shared" si="18"/>
        <v>0</v>
      </c>
      <c r="J202" s="2">
        <v>13</v>
      </c>
      <c r="K202" s="2">
        <v>84.2</v>
      </c>
      <c r="L202" s="2">
        <v>0.41</v>
      </c>
      <c r="M202" s="2">
        <v>1</v>
      </c>
      <c r="N202" s="2">
        <v>4.5999999999999996</v>
      </c>
      <c r="O202" s="2">
        <v>598904.9</v>
      </c>
      <c r="P202" s="2">
        <v>72861</v>
      </c>
      <c r="Q202">
        <f t="shared" si="19"/>
        <v>1</v>
      </c>
      <c r="R202">
        <f t="shared" si="20"/>
        <v>0</v>
      </c>
      <c r="S202">
        <f t="shared" si="21"/>
        <v>1</v>
      </c>
      <c r="T202">
        <f t="shared" si="22"/>
        <v>0</v>
      </c>
      <c r="U202">
        <f t="shared" si="23"/>
        <v>0</v>
      </c>
    </row>
    <row r="203" spans="1:21" ht="40.5" customHeight="1">
      <c r="A203" s="2" t="s">
        <v>72</v>
      </c>
      <c r="B203" s="3">
        <v>45689</v>
      </c>
      <c r="C203" s="2" t="s">
        <v>15</v>
      </c>
      <c r="D203" s="2" t="s">
        <v>21</v>
      </c>
      <c r="E203" s="2">
        <v>78111.97</v>
      </c>
      <c r="F203" s="2">
        <v>6389</v>
      </c>
      <c r="G203" s="2">
        <v>0.15</v>
      </c>
      <c r="H203" s="2">
        <v>83.9</v>
      </c>
      <c r="I203">
        <f t="shared" si="18"/>
        <v>0</v>
      </c>
      <c r="J203" s="2">
        <v>13</v>
      </c>
      <c r="K203" s="2">
        <v>83.9</v>
      </c>
      <c r="L203" s="2">
        <v>3.05</v>
      </c>
      <c r="M203" s="2">
        <v>0</v>
      </c>
      <c r="N203" s="2">
        <v>4.8</v>
      </c>
      <c r="O203" s="2">
        <v>787715.51</v>
      </c>
      <c r="P203" s="2">
        <v>128969.62</v>
      </c>
      <c r="Q203">
        <f t="shared" si="19"/>
        <v>1</v>
      </c>
      <c r="R203">
        <f t="shared" si="20"/>
        <v>0</v>
      </c>
      <c r="S203">
        <f t="shared" si="21"/>
        <v>1</v>
      </c>
      <c r="T203">
        <f t="shared" si="22"/>
        <v>0</v>
      </c>
      <c r="U203">
        <f t="shared" si="23"/>
        <v>0</v>
      </c>
    </row>
    <row r="204" spans="1:21" ht="40.5" customHeight="1">
      <c r="A204" s="2" t="s">
        <v>72</v>
      </c>
      <c r="B204" s="3">
        <v>45717</v>
      </c>
      <c r="C204" s="2" t="s">
        <v>15</v>
      </c>
      <c r="D204" s="2" t="s">
        <v>21</v>
      </c>
      <c r="E204" s="2">
        <v>35203.230000000003</v>
      </c>
      <c r="F204" s="2">
        <v>6896</v>
      </c>
      <c r="G204" s="2">
        <v>3.2000000000000001E-2</v>
      </c>
      <c r="H204" s="2">
        <v>80.8</v>
      </c>
      <c r="I204">
        <f t="shared" si="18"/>
        <v>0</v>
      </c>
      <c r="J204" s="2">
        <v>14</v>
      </c>
      <c r="K204" s="2">
        <v>80.8</v>
      </c>
      <c r="L204" s="2">
        <v>8.44</v>
      </c>
      <c r="M204" s="2">
        <v>1</v>
      </c>
      <c r="N204" s="2">
        <v>5</v>
      </c>
      <c r="O204" s="2">
        <v>607084.92000000004</v>
      </c>
      <c r="P204" s="2">
        <v>98558.49</v>
      </c>
      <c r="Q204">
        <f t="shared" si="19"/>
        <v>1</v>
      </c>
      <c r="R204">
        <f t="shared" si="20"/>
        <v>0</v>
      </c>
      <c r="S204">
        <f t="shared" si="21"/>
        <v>1</v>
      </c>
      <c r="T204">
        <f t="shared" si="22"/>
        <v>0</v>
      </c>
      <c r="U204">
        <f t="shared" si="23"/>
        <v>0</v>
      </c>
    </row>
    <row r="205" spans="1:21" ht="40.5" customHeight="1">
      <c r="A205" s="2" t="s">
        <v>72</v>
      </c>
      <c r="B205" s="3">
        <v>45748</v>
      </c>
      <c r="C205" s="2" t="s">
        <v>15</v>
      </c>
      <c r="D205" s="2" t="s">
        <v>21</v>
      </c>
      <c r="E205" s="2">
        <v>64104.28</v>
      </c>
      <c r="F205" s="2">
        <v>6015</v>
      </c>
      <c r="G205" s="2">
        <v>0.127</v>
      </c>
      <c r="H205" s="2">
        <v>88.7</v>
      </c>
      <c r="I205">
        <f t="shared" si="18"/>
        <v>0</v>
      </c>
      <c r="J205" s="2">
        <v>15</v>
      </c>
      <c r="K205" s="2">
        <v>88.7</v>
      </c>
      <c r="L205" s="2">
        <v>0.78</v>
      </c>
      <c r="M205" s="2">
        <v>0</v>
      </c>
      <c r="N205" s="2">
        <v>4</v>
      </c>
      <c r="O205" s="2">
        <v>650795.49</v>
      </c>
      <c r="P205" s="2">
        <v>103035.89</v>
      </c>
      <c r="Q205">
        <f t="shared" si="19"/>
        <v>1</v>
      </c>
      <c r="R205">
        <f t="shared" si="20"/>
        <v>0</v>
      </c>
      <c r="S205">
        <f t="shared" si="21"/>
        <v>1</v>
      </c>
      <c r="T205">
        <f t="shared" si="22"/>
        <v>0</v>
      </c>
      <c r="U205">
        <f t="shared" si="23"/>
        <v>0</v>
      </c>
    </row>
    <row r="206" spans="1:21" ht="40.5" customHeight="1">
      <c r="A206" s="2" t="s">
        <v>73</v>
      </c>
      <c r="B206" s="3">
        <v>45658</v>
      </c>
      <c r="C206" s="2" t="s">
        <v>15</v>
      </c>
      <c r="D206" s="2" t="s">
        <v>28</v>
      </c>
      <c r="E206" s="2">
        <v>92090.14</v>
      </c>
      <c r="F206" s="2">
        <v>9476</v>
      </c>
      <c r="G206" s="2">
        <v>7.0000000000000007E-2</v>
      </c>
      <c r="H206" s="2">
        <v>94.3</v>
      </c>
      <c r="I206">
        <f t="shared" si="18"/>
        <v>0</v>
      </c>
      <c r="J206" s="2">
        <v>24</v>
      </c>
      <c r="K206" s="2">
        <v>94.3</v>
      </c>
      <c r="L206" s="2">
        <v>0.87</v>
      </c>
      <c r="M206" s="2">
        <v>0</v>
      </c>
      <c r="N206" s="2">
        <v>3.7</v>
      </c>
      <c r="O206" s="2">
        <v>825060.52</v>
      </c>
      <c r="P206" s="2">
        <v>143613.15</v>
      </c>
      <c r="Q206">
        <f t="shared" si="19"/>
        <v>1</v>
      </c>
      <c r="R206">
        <f t="shared" si="20"/>
        <v>0</v>
      </c>
      <c r="S206">
        <f t="shared" si="21"/>
        <v>0</v>
      </c>
      <c r="T206">
        <f t="shared" si="22"/>
        <v>0</v>
      </c>
      <c r="U206">
        <f t="shared" si="23"/>
        <v>1</v>
      </c>
    </row>
    <row r="207" spans="1:21" ht="40.5" customHeight="1">
      <c r="A207" s="2" t="s">
        <v>73</v>
      </c>
      <c r="B207" s="3">
        <v>45689</v>
      </c>
      <c r="C207" s="2" t="s">
        <v>15</v>
      </c>
      <c r="D207" s="2" t="s">
        <v>28</v>
      </c>
      <c r="E207" s="2">
        <v>54300.87</v>
      </c>
      <c r="F207" s="2">
        <v>7875</v>
      </c>
      <c r="G207" s="2">
        <v>0.107</v>
      </c>
      <c r="H207" s="2">
        <v>94.1</v>
      </c>
      <c r="I207">
        <f t="shared" si="18"/>
        <v>0</v>
      </c>
      <c r="J207" s="2">
        <v>19</v>
      </c>
      <c r="K207" s="2">
        <v>94.1</v>
      </c>
      <c r="L207" s="2">
        <v>0.95</v>
      </c>
      <c r="M207" s="2">
        <v>0</v>
      </c>
      <c r="N207" s="2">
        <v>3.7</v>
      </c>
      <c r="O207" s="2">
        <v>795464.47</v>
      </c>
      <c r="P207" s="2">
        <v>161150.51999999999</v>
      </c>
      <c r="Q207">
        <f t="shared" si="19"/>
        <v>1</v>
      </c>
      <c r="R207">
        <f t="shared" si="20"/>
        <v>0</v>
      </c>
      <c r="S207">
        <f t="shared" si="21"/>
        <v>0</v>
      </c>
      <c r="T207">
        <f t="shared" si="22"/>
        <v>0</v>
      </c>
      <c r="U207">
        <f t="shared" si="23"/>
        <v>1</v>
      </c>
    </row>
    <row r="208" spans="1:21" ht="40.5" customHeight="1">
      <c r="A208" s="2" t="s">
        <v>73</v>
      </c>
      <c r="B208" s="3">
        <v>45717</v>
      </c>
      <c r="C208" s="2" t="s">
        <v>15</v>
      </c>
      <c r="D208" s="2" t="s">
        <v>28</v>
      </c>
      <c r="E208" s="2">
        <v>37983.35</v>
      </c>
      <c r="F208" s="2">
        <v>9283</v>
      </c>
      <c r="G208" s="2">
        <v>0.14899999999999999</v>
      </c>
      <c r="H208" s="2">
        <v>83.2</v>
      </c>
      <c r="I208">
        <f t="shared" si="18"/>
        <v>0</v>
      </c>
      <c r="J208" s="2">
        <v>19</v>
      </c>
      <c r="K208" s="2">
        <v>83.2</v>
      </c>
      <c r="L208" s="2">
        <v>3.82</v>
      </c>
      <c r="M208" s="2">
        <v>0</v>
      </c>
      <c r="N208" s="2">
        <v>3.7</v>
      </c>
      <c r="O208" s="2">
        <v>671868.59</v>
      </c>
      <c r="P208" s="2">
        <v>71003.28</v>
      </c>
      <c r="Q208">
        <f t="shared" si="19"/>
        <v>1</v>
      </c>
      <c r="R208">
        <f t="shared" si="20"/>
        <v>0</v>
      </c>
      <c r="S208">
        <f t="shared" si="21"/>
        <v>0</v>
      </c>
      <c r="T208">
        <f t="shared" si="22"/>
        <v>0</v>
      </c>
      <c r="U208">
        <f t="shared" si="23"/>
        <v>1</v>
      </c>
    </row>
    <row r="209" spans="1:21" ht="40.5" customHeight="1">
      <c r="A209" s="2" t="s">
        <v>73</v>
      </c>
      <c r="B209" s="3">
        <v>45748</v>
      </c>
      <c r="C209" s="2" t="s">
        <v>15</v>
      </c>
      <c r="D209" s="2" t="s">
        <v>28</v>
      </c>
      <c r="E209" s="2">
        <v>56413.83</v>
      </c>
      <c r="F209" s="2">
        <v>8303</v>
      </c>
      <c r="G209" s="2">
        <v>0.11600000000000001</v>
      </c>
      <c r="H209" s="2">
        <v>93.6</v>
      </c>
      <c r="I209">
        <f t="shared" si="18"/>
        <v>0</v>
      </c>
      <c r="J209" s="2">
        <v>18</v>
      </c>
      <c r="K209" s="2">
        <v>93.6</v>
      </c>
      <c r="L209" s="2">
        <v>2.7</v>
      </c>
      <c r="M209" s="2">
        <v>0</v>
      </c>
      <c r="N209" s="2">
        <v>3.7</v>
      </c>
      <c r="O209" s="2">
        <v>675917.63</v>
      </c>
      <c r="P209" s="2">
        <v>112564.75</v>
      </c>
      <c r="Q209">
        <f t="shared" si="19"/>
        <v>1</v>
      </c>
      <c r="R209">
        <f t="shared" si="20"/>
        <v>0</v>
      </c>
      <c r="S209">
        <f t="shared" si="21"/>
        <v>0</v>
      </c>
      <c r="T209">
        <f t="shared" si="22"/>
        <v>0</v>
      </c>
      <c r="U209">
        <f t="shared" si="23"/>
        <v>1</v>
      </c>
    </row>
    <row r="210" spans="1:21" ht="40.5" customHeight="1">
      <c r="A210" s="2" t="s">
        <v>74</v>
      </c>
      <c r="B210" s="3">
        <v>45658</v>
      </c>
      <c r="C210" s="2" t="s">
        <v>15</v>
      </c>
      <c r="D210" s="2" t="s">
        <v>18</v>
      </c>
      <c r="E210" s="2">
        <v>63457.19</v>
      </c>
      <c r="F210" s="2">
        <v>10125</v>
      </c>
      <c r="G210" s="2">
        <v>9.7000000000000003E-2</v>
      </c>
      <c r="H210" s="2">
        <v>87</v>
      </c>
      <c r="I210">
        <f t="shared" si="18"/>
        <v>0</v>
      </c>
      <c r="J210" s="2">
        <v>24</v>
      </c>
      <c r="K210" s="2">
        <v>87</v>
      </c>
      <c r="L210" s="2">
        <v>3.84</v>
      </c>
      <c r="M210" s="2">
        <v>1</v>
      </c>
      <c r="N210" s="2">
        <v>3.7</v>
      </c>
      <c r="O210" s="2">
        <v>810446.53</v>
      </c>
      <c r="P210" s="2">
        <v>200575.34</v>
      </c>
      <c r="Q210">
        <f t="shared" si="19"/>
        <v>1</v>
      </c>
      <c r="R210">
        <f t="shared" si="20"/>
        <v>0</v>
      </c>
      <c r="S210">
        <f t="shared" si="21"/>
        <v>0</v>
      </c>
      <c r="T210">
        <f t="shared" si="22"/>
        <v>1</v>
      </c>
      <c r="U210">
        <f t="shared" si="23"/>
        <v>0</v>
      </c>
    </row>
    <row r="211" spans="1:21" ht="40.5" customHeight="1">
      <c r="A211" s="2" t="s">
        <v>74</v>
      </c>
      <c r="B211" s="3">
        <v>45689</v>
      </c>
      <c r="C211" s="2" t="s">
        <v>15</v>
      </c>
      <c r="D211" s="2" t="s">
        <v>18</v>
      </c>
      <c r="E211" s="2">
        <v>62949.7</v>
      </c>
      <c r="F211" s="2">
        <v>9458</v>
      </c>
      <c r="G211" s="2">
        <v>0.17100000000000001</v>
      </c>
      <c r="H211" s="2">
        <v>84.9</v>
      </c>
      <c r="I211">
        <f t="shared" si="18"/>
        <v>0</v>
      </c>
      <c r="J211" s="2">
        <v>19</v>
      </c>
      <c r="K211" s="2">
        <v>84.9</v>
      </c>
      <c r="L211" s="2">
        <v>5.09</v>
      </c>
      <c r="M211" s="2">
        <v>0</v>
      </c>
      <c r="N211" s="2">
        <v>3.3</v>
      </c>
      <c r="O211" s="2">
        <v>691288.19</v>
      </c>
      <c r="P211" s="2">
        <v>159074.14000000001</v>
      </c>
      <c r="Q211">
        <f t="shared" si="19"/>
        <v>1</v>
      </c>
      <c r="R211">
        <f t="shared" si="20"/>
        <v>0</v>
      </c>
      <c r="S211">
        <f t="shared" si="21"/>
        <v>0</v>
      </c>
      <c r="T211">
        <f t="shared" si="22"/>
        <v>1</v>
      </c>
      <c r="U211">
        <f t="shared" si="23"/>
        <v>0</v>
      </c>
    </row>
    <row r="212" spans="1:21" ht="40.5" customHeight="1">
      <c r="A212" s="2" t="s">
        <v>74</v>
      </c>
      <c r="B212" s="3">
        <v>45717</v>
      </c>
      <c r="C212" s="2" t="s">
        <v>15</v>
      </c>
      <c r="D212" s="2" t="s">
        <v>18</v>
      </c>
      <c r="E212" s="2">
        <v>107970.19</v>
      </c>
      <c r="F212" s="2">
        <v>12870</v>
      </c>
      <c r="G212" s="2">
        <v>2.9000000000000001E-2</v>
      </c>
      <c r="H212" s="2">
        <v>91.7</v>
      </c>
      <c r="I212">
        <f t="shared" si="18"/>
        <v>0</v>
      </c>
      <c r="J212" s="2">
        <v>31</v>
      </c>
      <c r="K212" s="2">
        <v>91.7</v>
      </c>
      <c r="L212" s="2">
        <v>3.82</v>
      </c>
      <c r="M212" s="2">
        <v>1</v>
      </c>
      <c r="N212" s="2">
        <v>3.7</v>
      </c>
      <c r="O212" s="2">
        <v>946833.54</v>
      </c>
      <c r="P212" s="2">
        <v>184540.31</v>
      </c>
      <c r="Q212">
        <f t="shared" si="19"/>
        <v>1</v>
      </c>
      <c r="R212">
        <f t="shared" si="20"/>
        <v>0</v>
      </c>
      <c r="S212">
        <f t="shared" si="21"/>
        <v>0</v>
      </c>
      <c r="T212">
        <f t="shared" si="22"/>
        <v>1</v>
      </c>
      <c r="U212">
        <f t="shared" si="23"/>
        <v>0</v>
      </c>
    </row>
    <row r="213" spans="1:21" ht="40.5" customHeight="1">
      <c r="A213" s="2" t="s">
        <v>74</v>
      </c>
      <c r="B213" s="3">
        <v>45748</v>
      </c>
      <c r="C213" s="2" t="s">
        <v>15</v>
      </c>
      <c r="D213" s="2" t="s">
        <v>18</v>
      </c>
      <c r="E213" s="2">
        <v>49405.75</v>
      </c>
      <c r="F213" s="2">
        <v>9752</v>
      </c>
      <c r="G213" s="2">
        <v>9.2999999999999999E-2</v>
      </c>
      <c r="H213" s="2">
        <v>87</v>
      </c>
      <c r="I213">
        <f t="shared" si="18"/>
        <v>0</v>
      </c>
      <c r="J213" s="2">
        <v>21</v>
      </c>
      <c r="K213" s="2">
        <v>87</v>
      </c>
      <c r="L213" s="2">
        <v>12.28</v>
      </c>
      <c r="M213" s="2">
        <v>0</v>
      </c>
      <c r="N213" s="2">
        <v>4.0999999999999996</v>
      </c>
      <c r="O213" s="2">
        <v>761963.23</v>
      </c>
      <c r="P213" s="2">
        <v>150113.60999999999</v>
      </c>
      <c r="Q213">
        <f t="shared" si="19"/>
        <v>1</v>
      </c>
      <c r="R213">
        <f t="shared" si="20"/>
        <v>0</v>
      </c>
      <c r="S213">
        <f t="shared" si="21"/>
        <v>0</v>
      </c>
      <c r="T213">
        <f t="shared" si="22"/>
        <v>1</v>
      </c>
      <c r="U213">
        <f t="shared" si="23"/>
        <v>0</v>
      </c>
    </row>
    <row r="214" spans="1:21" ht="40.5" customHeight="1">
      <c r="A214" s="2" t="s">
        <v>75</v>
      </c>
      <c r="B214" s="3">
        <v>45658</v>
      </c>
      <c r="C214" s="2" t="s">
        <v>27</v>
      </c>
      <c r="D214" s="2" t="s">
        <v>16</v>
      </c>
      <c r="E214" s="2">
        <v>50887.46</v>
      </c>
      <c r="F214" s="2">
        <v>9505</v>
      </c>
      <c r="G214" s="2">
        <v>9.0999999999999998E-2</v>
      </c>
      <c r="H214" s="2">
        <v>89.7</v>
      </c>
      <c r="I214">
        <f t="shared" si="18"/>
        <v>0</v>
      </c>
      <c r="J214" s="2">
        <v>25</v>
      </c>
      <c r="K214" s="2">
        <v>89.7</v>
      </c>
      <c r="L214" s="2">
        <v>2.8</v>
      </c>
      <c r="M214" s="2">
        <v>0</v>
      </c>
      <c r="N214" s="2">
        <v>4.3</v>
      </c>
      <c r="O214" s="2">
        <v>812152.6</v>
      </c>
      <c r="P214" s="2">
        <v>138419.43</v>
      </c>
      <c r="Q214">
        <f t="shared" si="19"/>
        <v>0</v>
      </c>
      <c r="R214">
        <f t="shared" si="20"/>
        <v>0</v>
      </c>
      <c r="S214">
        <f t="shared" si="21"/>
        <v>0</v>
      </c>
      <c r="T214">
        <f t="shared" si="22"/>
        <v>0</v>
      </c>
      <c r="U214">
        <f t="shared" si="23"/>
        <v>0</v>
      </c>
    </row>
    <row r="215" spans="1:21" ht="40.5" customHeight="1">
      <c r="A215" s="2" t="s">
        <v>75</v>
      </c>
      <c r="B215" s="3">
        <v>45689</v>
      </c>
      <c r="C215" s="2" t="s">
        <v>27</v>
      </c>
      <c r="D215" s="2" t="s">
        <v>16</v>
      </c>
      <c r="E215" s="2">
        <v>41819.449999999997</v>
      </c>
      <c r="F215" s="2">
        <v>9412</v>
      </c>
      <c r="G215" s="2">
        <v>0.15</v>
      </c>
      <c r="H215" s="2">
        <v>91</v>
      </c>
      <c r="I215">
        <f t="shared" si="18"/>
        <v>0</v>
      </c>
      <c r="J215" s="2">
        <v>22</v>
      </c>
      <c r="K215" s="2">
        <v>91</v>
      </c>
      <c r="L215" s="2">
        <v>3.67</v>
      </c>
      <c r="M215" s="2">
        <v>0</v>
      </c>
      <c r="N215" s="2">
        <v>4.2</v>
      </c>
      <c r="O215" s="2">
        <v>804975.5</v>
      </c>
      <c r="P215" s="2">
        <v>140054.5</v>
      </c>
      <c r="Q215">
        <f t="shared" si="19"/>
        <v>0</v>
      </c>
      <c r="R215">
        <f t="shared" si="20"/>
        <v>0</v>
      </c>
      <c r="S215">
        <f t="shared" si="21"/>
        <v>0</v>
      </c>
      <c r="T215">
        <f t="shared" si="22"/>
        <v>0</v>
      </c>
      <c r="U215">
        <f t="shared" si="23"/>
        <v>0</v>
      </c>
    </row>
    <row r="216" spans="1:21" ht="40.5" customHeight="1">
      <c r="A216" s="2" t="s">
        <v>75</v>
      </c>
      <c r="B216" s="3">
        <v>45717</v>
      </c>
      <c r="C216" s="2" t="s">
        <v>27</v>
      </c>
      <c r="D216" s="2" t="s">
        <v>16</v>
      </c>
      <c r="E216" s="2">
        <v>35296.54</v>
      </c>
      <c r="F216" s="2">
        <v>9644</v>
      </c>
      <c r="G216" s="2">
        <v>0</v>
      </c>
      <c r="H216" s="2">
        <v>88</v>
      </c>
      <c r="I216">
        <f t="shared" si="18"/>
        <v>0</v>
      </c>
      <c r="J216" s="2">
        <v>22</v>
      </c>
      <c r="K216" s="2">
        <v>88</v>
      </c>
      <c r="L216" s="2">
        <v>2.81</v>
      </c>
      <c r="M216" s="2">
        <v>0</v>
      </c>
      <c r="N216" s="2">
        <v>4.7</v>
      </c>
      <c r="O216" s="2">
        <v>752321.72</v>
      </c>
      <c r="P216" s="2">
        <v>137788.51</v>
      </c>
      <c r="Q216">
        <f t="shared" si="19"/>
        <v>0</v>
      </c>
      <c r="R216">
        <f t="shared" si="20"/>
        <v>0</v>
      </c>
      <c r="S216">
        <f t="shared" si="21"/>
        <v>0</v>
      </c>
      <c r="T216">
        <f t="shared" si="22"/>
        <v>0</v>
      </c>
      <c r="U216">
        <f t="shared" si="23"/>
        <v>0</v>
      </c>
    </row>
    <row r="217" spans="1:21" ht="40.5" customHeight="1">
      <c r="A217" s="2" t="s">
        <v>75</v>
      </c>
      <c r="B217" s="3">
        <v>45748</v>
      </c>
      <c r="C217" s="2" t="s">
        <v>27</v>
      </c>
      <c r="D217" s="2" t="s">
        <v>16</v>
      </c>
      <c r="E217" s="2">
        <v>47391.09</v>
      </c>
      <c r="F217" s="2">
        <v>11224</v>
      </c>
      <c r="G217" s="2">
        <v>0.14699999999999999</v>
      </c>
      <c r="H217" s="2">
        <v>88.4</v>
      </c>
      <c r="I217">
        <f t="shared" si="18"/>
        <v>0</v>
      </c>
      <c r="J217" s="2">
        <v>25</v>
      </c>
      <c r="K217" s="2">
        <v>88.4</v>
      </c>
      <c r="L217" s="2">
        <v>2.44</v>
      </c>
      <c r="M217" s="2">
        <v>0</v>
      </c>
      <c r="N217" s="2">
        <v>4.9000000000000004</v>
      </c>
      <c r="O217" s="2">
        <v>836908.24</v>
      </c>
      <c r="P217" s="2">
        <v>141090.26</v>
      </c>
      <c r="Q217">
        <f t="shared" si="19"/>
        <v>0</v>
      </c>
      <c r="R217">
        <f t="shared" si="20"/>
        <v>0</v>
      </c>
      <c r="S217">
        <f t="shared" si="21"/>
        <v>0</v>
      </c>
      <c r="T217">
        <f t="shared" si="22"/>
        <v>0</v>
      </c>
      <c r="U217">
        <f t="shared" si="23"/>
        <v>0</v>
      </c>
    </row>
    <row r="218" spans="1:21" ht="40.5" customHeight="1">
      <c r="A218" s="2" t="s">
        <v>76</v>
      </c>
      <c r="B218" s="3">
        <v>45658</v>
      </c>
      <c r="C218" s="2" t="s">
        <v>20</v>
      </c>
      <c r="D218" s="2" t="s">
        <v>21</v>
      </c>
      <c r="E218" s="2">
        <v>69180.539999999994</v>
      </c>
      <c r="F218" s="2">
        <v>5394</v>
      </c>
      <c r="G218" s="2">
        <v>0.126</v>
      </c>
      <c r="H218" s="2">
        <v>82.9</v>
      </c>
      <c r="I218">
        <f t="shared" si="18"/>
        <v>1</v>
      </c>
      <c r="J218" s="2">
        <v>12</v>
      </c>
      <c r="K218" s="2">
        <v>82.9</v>
      </c>
      <c r="L218" s="2">
        <v>3.27</v>
      </c>
      <c r="M218" s="2">
        <v>0</v>
      </c>
      <c r="N218" s="2">
        <v>3.3</v>
      </c>
      <c r="O218" s="2">
        <v>674289.1</v>
      </c>
      <c r="P218" s="2">
        <v>117773.79</v>
      </c>
      <c r="Q218">
        <f t="shared" si="19"/>
        <v>0</v>
      </c>
      <c r="R218">
        <f t="shared" si="20"/>
        <v>0</v>
      </c>
      <c r="S218">
        <f t="shared" si="21"/>
        <v>1</v>
      </c>
      <c r="T218">
        <f t="shared" si="22"/>
        <v>0</v>
      </c>
      <c r="U218">
        <f t="shared" si="23"/>
        <v>0</v>
      </c>
    </row>
    <row r="219" spans="1:21" ht="40.5" customHeight="1">
      <c r="A219" s="2" t="s">
        <v>76</v>
      </c>
      <c r="B219" s="3">
        <v>45689</v>
      </c>
      <c r="C219" s="2" t="s">
        <v>20</v>
      </c>
      <c r="D219" s="2" t="s">
        <v>21</v>
      </c>
      <c r="E219" s="2">
        <v>33987.33</v>
      </c>
      <c r="F219" s="2">
        <v>5014</v>
      </c>
      <c r="G219" s="2">
        <v>0.246</v>
      </c>
      <c r="H219" s="2">
        <v>94.3</v>
      </c>
      <c r="I219">
        <f t="shared" si="18"/>
        <v>1</v>
      </c>
      <c r="J219" s="2">
        <v>17</v>
      </c>
      <c r="K219" s="2">
        <v>94.3</v>
      </c>
      <c r="L219" s="2">
        <v>10.34</v>
      </c>
      <c r="M219" s="2">
        <v>0</v>
      </c>
      <c r="N219" s="2">
        <v>3.9</v>
      </c>
      <c r="O219" s="2">
        <v>622892.42000000004</v>
      </c>
      <c r="P219" s="2">
        <v>101032.52</v>
      </c>
      <c r="Q219">
        <f t="shared" si="19"/>
        <v>0</v>
      </c>
      <c r="R219">
        <f t="shared" si="20"/>
        <v>0</v>
      </c>
      <c r="S219">
        <f t="shared" si="21"/>
        <v>1</v>
      </c>
      <c r="T219">
        <f t="shared" si="22"/>
        <v>0</v>
      </c>
      <c r="U219">
        <f t="shared" si="23"/>
        <v>0</v>
      </c>
    </row>
    <row r="220" spans="1:21" ht="40.5" customHeight="1">
      <c r="A220" s="2" t="s">
        <v>76</v>
      </c>
      <c r="B220" s="3">
        <v>45717</v>
      </c>
      <c r="C220" s="2" t="s">
        <v>20</v>
      </c>
      <c r="D220" s="2" t="s">
        <v>21</v>
      </c>
      <c r="E220" s="2">
        <v>58785.33</v>
      </c>
      <c r="F220" s="2">
        <v>4467</v>
      </c>
      <c r="G220" s="2">
        <v>0.22900000000000001</v>
      </c>
      <c r="H220" s="2">
        <v>90.7</v>
      </c>
      <c r="I220">
        <f t="shared" si="18"/>
        <v>1</v>
      </c>
      <c r="J220" s="2">
        <v>14</v>
      </c>
      <c r="K220" s="2">
        <v>90.7</v>
      </c>
      <c r="L220" s="2">
        <v>1.92</v>
      </c>
      <c r="M220" s="2">
        <v>0</v>
      </c>
      <c r="N220" s="2">
        <v>3.7</v>
      </c>
      <c r="O220" s="2">
        <v>673348.56</v>
      </c>
      <c r="P220" s="2">
        <v>69464.59</v>
      </c>
      <c r="Q220">
        <f t="shared" si="19"/>
        <v>0</v>
      </c>
      <c r="R220">
        <f t="shared" si="20"/>
        <v>0</v>
      </c>
      <c r="S220">
        <f t="shared" si="21"/>
        <v>1</v>
      </c>
      <c r="T220">
        <f t="shared" si="22"/>
        <v>0</v>
      </c>
      <c r="U220">
        <f t="shared" si="23"/>
        <v>0</v>
      </c>
    </row>
    <row r="221" spans="1:21" ht="40.5" customHeight="1">
      <c r="A221" s="2" t="s">
        <v>76</v>
      </c>
      <c r="B221" s="3">
        <v>45748</v>
      </c>
      <c r="C221" s="2" t="s">
        <v>20</v>
      </c>
      <c r="D221" s="2" t="s">
        <v>21</v>
      </c>
      <c r="E221" s="2">
        <v>16451.849999999999</v>
      </c>
      <c r="F221" s="2">
        <v>4678</v>
      </c>
      <c r="G221" s="2">
        <v>0.13300000000000001</v>
      </c>
      <c r="H221" s="2">
        <v>95.9</v>
      </c>
      <c r="I221">
        <f t="shared" si="18"/>
        <v>1</v>
      </c>
      <c r="J221" s="2">
        <v>11</v>
      </c>
      <c r="K221" s="2">
        <v>95.9</v>
      </c>
      <c r="L221" s="2">
        <v>3.1</v>
      </c>
      <c r="M221" s="2">
        <v>0</v>
      </c>
      <c r="N221" s="2">
        <v>3.9</v>
      </c>
      <c r="O221" s="2">
        <v>606278.30000000005</v>
      </c>
      <c r="P221" s="2">
        <v>102213.26</v>
      </c>
      <c r="Q221">
        <f t="shared" si="19"/>
        <v>0</v>
      </c>
      <c r="R221">
        <f t="shared" si="20"/>
        <v>0</v>
      </c>
      <c r="S221">
        <f t="shared" si="21"/>
        <v>1</v>
      </c>
      <c r="T221">
        <f t="shared" si="22"/>
        <v>0</v>
      </c>
      <c r="U221">
        <f t="shared" si="23"/>
        <v>0</v>
      </c>
    </row>
    <row r="222" spans="1:21" ht="40.5" customHeight="1">
      <c r="A222" s="2" t="s">
        <v>77</v>
      </c>
      <c r="B222" s="3">
        <v>45658</v>
      </c>
      <c r="C222" s="2" t="s">
        <v>15</v>
      </c>
      <c r="D222" s="2" t="s">
        <v>18</v>
      </c>
      <c r="E222" s="2">
        <v>53367.73</v>
      </c>
      <c r="F222" s="2">
        <v>7291</v>
      </c>
      <c r="G222" s="2">
        <v>0.14599999999999999</v>
      </c>
      <c r="H222" s="2">
        <v>90.6</v>
      </c>
      <c r="I222">
        <f t="shared" si="18"/>
        <v>0</v>
      </c>
      <c r="J222" s="2">
        <v>18</v>
      </c>
      <c r="K222" s="2">
        <v>90.6</v>
      </c>
      <c r="L222" s="2">
        <v>6.34</v>
      </c>
      <c r="M222" s="2">
        <v>1</v>
      </c>
      <c r="N222" s="2">
        <v>3.8</v>
      </c>
      <c r="O222" s="2">
        <v>712219.81</v>
      </c>
      <c r="P222" s="2">
        <v>85906.54</v>
      </c>
      <c r="Q222">
        <f t="shared" si="19"/>
        <v>1</v>
      </c>
      <c r="R222">
        <f t="shared" si="20"/>
        <v>0</v>
      </c>
      <c r="S222">
        <f t="shared" si="21"/>
        <v>0</v>
      </c>
      <c r="T222">
        <f t="shared" si="22"/>
        <v>1</v>
      </c>
      <c r="U222">
        <f t="shared" si="23"/>
        <v>0</v>
      </c>
    </row>
    <row r="223" spans="1:21" ht="40.5" customHeight="1">
      <c r="A223" s="2" t="s">
        <v>77</v>
      </c>
      <c r="B223" s="3">
        <v>45689</v>
      </c>
      <c r="C223" s="2" t="s">
        <v>15</v>
      </c>
      <c r="D223" s="2" t="s">
        <v>18</v>
      </c>
      <c r="E223" s="2">
        <v>27194.639999999999</v>
      </c>
      <c r="F223" s="2">
        <v>7404</v>
      </c>
      <c r="G223" s="2">
        <v>8.7999999999999995E-2</v>
      </c>
      <c r="H223" s="2">
        <v>90.2</v>
      </c>
      <c r="I223">
        <f t="shared" si="18"/>
        <v>0</v>
      </c>
      <c r="J223" s="2">
        <v>18</v>
      </c>
      <c r="K223" s="2">
        <v>90.2</v>
      </c>
      <c r="L223" s="2">
        <v>1.2</v>
      </c>
      <c r="M223" s="2">
        <v>0</v>
      </c>
      <c r="N223" s="2">
        <v>3.4</v>
      </c>
      <c r="O223" s="2">
        <v>672670.54</v>
      </c>
      <c r="P223" s="2">
        <v>132684.18</v>
      </c>
      <c r="Q223">
        <f t="shared" si="19"/>
        <v>1</v>
      </c>
      <c r="R223">
        <f t="shared" si="20"/>
        <v>0</v>
      </c>
      <c r="S223">
        <f t="shared" si="21"/>
        <v>0</v>
      </c>
      <c r="T223">
        <f t="shared" si="22"/>
        <v>1</v>
      </c>
      <c r="U223">
        <f t="shared" si="23"/>
        <v>0</v>
      </c>
    </row>
    <row r="224" spans="1:21" ht="40.5" customHeight="1">
      <c r="A224" s="2" t="s">
        <v>77</v>
      </c>
      <c r="B224" s="3">
        <v>45717</v>
      </c>
      <c r="C224" s="2" t="s">
        <v>15</v>
      </c>
      <c r="D224" s="2" t="s">
        <v>18</v>
      </c>
      <c r="E224" s="2">
        <v>66962.740000000005</v>
      </c>
      <c r="F224" s="2">
        <v>7880</v>
      </c>
      <c r="G224" s="2">
        <v>0.11600000000000001</v>
      </c>
      <c r="H224" s="2">
        <v>90.4</v>
      </c>
      <c r="I224">
        <f t="shared" si="18"/>
        <v>0</v>
      </c>
      <c r="J224" s="2">
        <v>19</v>
      </c>
      <c r="K224" s="2">
        <v>90.4</v>
      </c>
      <c r="L224" s="2">
        <v>4.5</v>
      </c>
      <c r="M224" s="2">
        <v>0</v>
      </c>
      <c r="N224" s="2">
        <v>3.3</v>
      </c>
      <c r="O224" s="2">
        <v>732667.92</v>
      </c>
      <c r="P224" s="2">
        <v>128654.46</v>
      </c>
      <c r="Q224">
        <f t="shared" si="19"/>
        <v>1</v>
      </c>
      <c r="R224">
        <f t="shared" si="20"/>
        <v>0</v>
      </c>
      <c r="S224">
        <f t="shared" si="21"/>
        <v>0</v>
      </c>
      <c r="T224">
        <f t="shared" si="22"/>
        <v>1</v>
      </c>
      <c r="U224">
        <f t="shared" si="23"/>
        <v>0</v>
      </c>
    </row>
    <row r="225" spans="1:21" ht="40.5" customHeight="1">
      <c r="A225" s="2" t="s">
        <v>77</v>
      </c>
      <c r="B225" s="3">
        <v>45748</v>
      </c>
      <c r="C225" s="2" t="s">
        <v>15</v>
      </c>
      <c r="D225" s="2" t="s">
        <v>18</v>
      </c>
      <c r="E225" s="2">
        <v>73540.990000000005</v>
      </c>
      <c r="F225" s="2">
        <v>8773</v>
      </c>
      <c r="G225" s="2">
        <v>3.5000000000000003E-2</v>
      </c>
      <c r="H225" s="2">
        <v>84.4</v>
      </c>
      <c r="I225">
        <f t="shared" si="18"/>
        <v>0</v>
      </c>
      <c r="J225" s="2">
        <v>21</v>
      </c>
      <c r="K225" s="2">
        <v>84.4</v>
      </c>
      <c r="L225" s="2">
        <v>6.68</v>
      </c>
      <c r="M225" s="2">
        <v>0</v>
      </c>
      <c r="N225" s="2">
        <v>3.6</v>
      </c>
      <c r="O225" s="2">
        <v>723531.4</v>
      </c>
      <c r="P225" s="2">
        <v>108794.85</v>
      </c>
      <c r="Q225">
        <f t="shared" si="19"/>
        <v>1</v>
      </c>
      <c r="R225">
        <f t="shared" si="20"/>
        <v>0</v>
      </c>
      <c r="S225">
        <f t="shared" si="21"/>
        <v>0</v>
      </c>
      <c r="T225">
        <f t="shared" si="22"/>
        <v>1</v>
      </c>
      <c r="U225">
        <f t="shared" si="23"/>
        <v>0</v>
      </c>
    </row>
    <row r="226" spans="1:21" ht="40.5" customHeight="1">
      <c r="A226" s="2" t="s">
        <v>78</v>
      </c>
      <c r="B226" s="3">
        <v>45658</v>
      </c>
      <c r="C226" s="2" t="s">
        <v>15</v>
      </c>
      <c r="D226" s="2" t="s">
        <v>28</v>
      </c>
      <c r="E226" s="2">
        <v>68212.289999999994</v>
      </c>
      <c r="F226" s="2">
        <v>4713</v>
      </c>
      <c r="G226" s="2">
        <v>0.19800000000000001</v>
      </c>
      <c r="H226" s="2">
        <v>82.6</v>
      </c>
      <c r="I226">
        <f t="shared" si="18"/>
        <v>0</v>
      </c>
      <c r="J226" s="2">
        <v>15</v>
      </c>
      <c r="K226" s="2">
        <v>82.6</v>
      </c>
      <c r="L226" s="2">
        <v>4.07</v>
      </c>
      <c r="M226" s="2">
        <v>1</v>
      </c>
      <c r="N226" s="2">
        <v>3</v>
      </c>
      <c r="O226" s="2">
        <v>641564.6</v>
      </c>
      <c r="P226" s="2">
        <v>90468.96</v>
      </c>
      <c r="Q226">
        <f t="shared" si="19"/>
        <v>1</v>
      </c>
      <c r="R226">
        <f t="shared" si="20"/>
        <v>0</v>
      </c>
      <c r="S226">
        <f t="shared" si="21"/>
        <v>0</v>
      </c>
      <c r="T226">
        <f t="shared" si="22"/>
        <v>0</v>
      </c>
      <c r="U226">
        <f t="shared" si="23"/>
        <v>1</v>
      </c>
    </row>
    <row r="227" spans="1:21" ht="40.5" customHeight="1">
      <c r="A227" s="2" t="s">
        <v>78</v>
      </c>
      <c r="B227" s="3">
        <v>45689</v>
      </c>
      <c r="C227" s="2" t="s">
        <v>15</v>
      </c>
      <c r="D227" s="2" t="s">
        <v>28</v>
      </c>
      <c r="E227" s="2">
        <v>57225.98</v>
      </c>
      <c r="F227" s="2">
        <v>2842</v>
      </c>
      <c r="G227" s="2">
        <v>0.112</v>
      </c>
      <c r="H227" s="2">
        <v>79.5</v>
      </c>
      <c r="I227">
        <f t="shared" si="18"/>
        <v>0</v>
      </c>
      <c r="J227" s="2">
        <v>10</v>
      </c>
      <c r="K227" s="2">
        <v>79.5</v>
      </c>
      <c r="L227" s="2">
        <v>5.45</v>
      </c>
      <c r="M227" s="2">
        <v>0</v>
      </c>
      <c r="N227" s="2">
        <v>3.4</v>
      </c>
      <c r="O227" s="2">
        <v>536545.49</v>
      </c>
      <c r="P227" s="2">
        <v>97917.45</v>
      </c>
      <c r="Q227">
        <f t="shared" si="19"/>
        <v>1</v>
      </c>
      <c r="R227">
        <f t="shared" si="20"/>
        <v>0</v>
      </c>
      <c r="S227">
        <f t="shared" si="21"/>
        <v>0</v>
      </c>
      <c r="T227">
        <f t="shared" si="22"/>
        <v>0</v>
      </c>
      <c r="U227">
        <f t="shared" si="23"/>
        <v>1</v>
      </c>
    </row>
    <row r="228" spans="1:21" ht="40.5" customHeight="1">
      <c r="A228" s="2" t="s">
        <v>78</v>
      </c>
      <c r="B228" s="3">
        <v>45717</v>
      </c>
      <c r="C228" s="2" t="s">
        <v>15</v>
      </c>
      <c r="D228" s="2" t="s">
        <v>28</v>
      </c>
      <c r="E228" s="2">
        <v>42932.02</v>
      </c>
      <c r="F228" s="2">
        <v>3872</v>
      </c>
      <c r="G228" s="2">
        <v>0.17100000000000001</v>
      </c>
      <c r="H228" s="2">
        <v>83.2</v>
      </c>
      <c r="I228">
        <f t="shared" si="18"/>
        <v>0</v>
      </c>
      <c r="J228" s="2">
        <v>12</v>
      </c>
      <c r="K228" s="2">
        <v>83.2</v>
      </c>
      <c r="L228" s="2">
        <v>15.58</v>
      </c>
      <c r="M228" s="2">
        <v>0</v>
      </c>
      <c r="N228" s="2">
        <v>3.3</v>
      </c>
      <c r="O228" s="2">
        <v>527681.56000000006</v>
      </c>
      <c r="P228" s="2">
        <v>63153.05</v>
      </c>
      <c r="Q228">
        <f t="shared" si="19"/>
        <v>1</v>
      </c>
      <c r="R228">
        <f t="shared" si="20"/>
        <v>0</v>
      </c>
      <c r="S228">
        <f t="shared" si="21"/>
        <v>0</v>
      </c>
      <c r="T228">
        <f t="shared" si="22"/>
        <v>0</v>
      </c>
      <c r="U228">
        <f t="shared" si="23"/>
        <v>1</v>
      </c>
    </row>
    <row r="229" spans="1:21" ht="40.5" customHeight="1">
      <c r="A229" s="2" t="s">
        <v>78</v>
      </c>
      <c r="B229" s="3">
        <v>45748</v>
      </c>
      <c r="C229" s="2" t="s">
        <v>15</v>
      </c>
      <c r="D229" s="2" t="s">
        <v>28</v>
      </c>
      <c r="E229" s="2">
        <v>39341.449999999997</v>
      </c>
      <c r="F229" s="2">
        <v>1375</v>
      </c>
      <c r="G229" s="2">
        <v>9.2999999999999999E-2</v>
      </c>
      <c r="H229" s="2">
        <v>95</v>
      </c>
      <c r="I229">
        <f t="shared" si="18"/>
        <v>0</v>
      </c>
      <c r="J229" s="2">
        <v>5</v>
      </c>
      <c r="K229" s="2">
        <v>95</v>
      </c>
      <c r="L229" s="2">
        <v>5.32</v>
      </c>
      <c r="M229" s="2">
        <v>0</v>
      </c>
      <c r="N229" s="2"/>
      <c r="O229" s="2">
        <v>529598.93999999994</v>
      </c>
      <c r="P229" s="2">
        <v>84334.33</v>
      </c>
      <c r="Q229">
        <f t="shared" si="19"/>
        <v>1</v>
      </c>
      <c r="R229">
        <f t="shared" si="20"/>
        <v>0</v>
      </c>
      <c r="S229">
        <f t="shared" si="21"/>
        <v>0</v>
      </c>
      <c r="T229">
        <f t="shared" si="22"/>
        <v>0</v>
      </c>
      <c r="U229">
        <f t="shared" si="23"/>
        <v>1</v>
      </c>
    </row>
    <row r="230" spans="1:21" ht="40.5" customHeight="1">
      <c r="A230" s="2" t="s">
        <v>79</v>
      </c>
      <c r="B230" s="3">
        <v>45658</v>
      </c>
      <c r="C230" s="2" t="s">
        <v>15</v>
      </c>
      <c r="D230" s="2" t="s">
        <v>18</v>
      </c>
      <c r="E230" s="2">
        <v>37324.230000000003</v>
      </c>
      <c r="F230" s="2">
        <v>5957</v>
      </c>
      <c r="G230" s="2">
        <v>7.0999999999999994E-2</v>
      </c>
      <c r="H230" s="2">
        <v>85.9</v>
      </c>
      <c r="I230">
        <f t="shared" si="18"/>
        <v>0</v>
      </c>
      <c r="J230" s="2">
        <v>12</v>
      </c>
      <c r="K230" s="2">
        <v>85.9</v>
      </c>
      <c r="L230" s="2">
        <v>0.37</v>
      </c>
      <c r="M230" s="2">
        <v>0</v>
      </c>
      <c r="N230" s="2">
        <v>3.8</v>
      </c>
      <c r="O230" s="2">
        <v>570963.31000000006</v>
      </c>
      <c r="P230" s="2">
        <v>87342.25</v>
      </c>
      <c r="Q230">
        <f t="shared" si="19"/>
        <v>1</v>
      </c>
      <c r="R230">
        <f t="shared" si="20"/>
        <v>0</v>
      </c>
      <c r="S230">
        <f t="shared" si="21"/>
        <v>0</v>
      </c>
      <c r="T230">
        <f t="shared" si="22"/>
        <v>1</v>
      </c>
      <c r="U230">
        <f t="shared" si="23"/>
        <v>0</v>
      </c>
    </row>
    <row r="231" spans="1:21" ht="40.5" customHeight="1">
      <c r="A231" s="2" t="s">
        <v>79</v>
      </c>
      <c r="B231" s="3">
        <v>45689</v>
      </c>
      <c r="C231" s="2" t="s">
        <v>15</v>
      </c>
      <c r="D231" s="2" t="s">
        <v>18</v>
      </c>
      <c r="E231" s="2">
        <v>113736</v>
      </c>
      <c r="F231" s="2">
        <v>8961</v>
      </c>
      <c r="G231" s="2">
        <v>0.20200000000000001</v>
      </c>
      <c r="H231" s="2">
        <v>86.2</v>
      </c>
      <c r="I231">
        <f t="shared" si="18"/>
        <v>0</v>
      </c>
      <c r="J231" s="2">
        <v>24</v>
      </c>
      <c r="K231" s="2">
        <v>86.2</v>
      </c>
      <c r="L231" s="2">
        <v>21.63</v>
      </c>
      <c r="M231" s="2">
        <v>0</v>
      </c>
      <c r="N231" s="2">
        <v>4</v>
      </c>
      <c r="O231" s="2">
        <v>870937.4</v>
      </c>
      <c r="P231" s="2">
        <v>175282.74</v>
      </c>
      <c r="Q231">
        <f t="shared" si="19"/>
        <v>1</v>
      </c>
      <c r="R231">
        <f t="shared" si="20"/>
        <v>0</v>
      </c>
      <c r="S231">
        <f t="shared" si="21"/>
        <v>0</v>
      </c>
      <c r="T231">
        <f t="shared" si="22"/>
        <v>1</v>
      </c>
      <c r="U231">
        <f t="shared" si="23"/>
        <v>0</v>
      </c>
    </row>
    <row r="232" spans="1:21" ht="40.5" customHeight="1">
      <c r="A232" s="2" t="s">
        <v>79</v>
      </c>
      <c r="B232" s="3">
        <v>45717</v>
      </c>
      <c r="C232" s="2" t="s">
        <v>15</v>
      </c>
      <c r="D232" s="2" t="s">
        <v>18</v>
      </c>
      <c r="E232" s="2">
        <v>33173.949999999997</v>
      </c>
      <c r="F232" s="2">
        <v>6545</v>
      </c>
      <c r="G232" s="2">
        <v>0.16900000000000001</v>
      </c>
      <c r="H232" s="2">
        <v>84.4</v>
      </c>
      <c r="I232">
        <f t="shared" si="18"/>
        <v>0</v>
      </c>
      <c r="J232" s="2">
        <v>15</v>
      </c>
      <c r="K232" s="2">
        <v>84.4</v>
      </c>
      <c r="L232" s="2">
        <v>2.48</v>
      </c>
      <c r="M232" s="2">
        <v>0</v>
      </c>
      <c r="N232" s="2">
        <v>3.9</v>
      </c>
      <c r="O232" s="2">
        <v>596969.27</v>
      </c>
      <c r="P232" s="2">
        <v>105669.51</v>
      </c>
      <c r="Q232">
        <f t="shared" si="19"/>
        <v>1</v>
      </c>
      <c r="R232">
        <f t="shared" si="20"/>
        <v>0</v>
      </c>
      <c r="S232">
        <f t="shared" si="21"/>
        <v>0</v>
      </c>
      <c r="T232">
        <f t="shared" si="22"/>
        <v>1</v>
      </c>
      <c r="U232">
        <f t="shared" si="23"/>
        <v>0</v>
      </c>
    </row>
    <row r="233" spans="1:21" ht="40.5" customHeight="1">
      <c r="A233" s="2" t="s">
        <v>79</v>
      </c>
      <c r="B233" s="3">
        <v>45748</v>
      </c>
      <c r="C233" s="2" t="s">
        <v>15</v>
      </c>
      <c r="D233" s="2" t="s">
        <v>18</v>
      </c>
      <c r="E233" s="2">
        <v>25818.080000000002</v>
      </c>
      <c r="F233" s="2">
        <v>5457</v>
      </c>
      <c r="G233" s="2">
        <v>0</v>
      </c>
      <c r="H233" s="2">
        <v>95.4</v>
      </c>
      <c r="I233">
        <f t="shared" si="18"/>
        <v>0</v>
      </c>
      <c r="J233" s="2">
        <v>11</v>
      </c>
      <c r="K233" s="2">
        <v>95.4</v>
      </c>
      <c r="L233" s="2"/>
      <c r="M233" s="2">
        <v>0</v>
      </c>
      <c r="N233" s="2">
        <v>3.7</v>
      </c>
      <c r="O233" s="2">
        <v>647512.85</v>
      </c>
      <c r="P233" s="2">
        <v>153835.57</v>
      </c>
      <c r="Q233">
        <f t="shared" si="19"/>
        <v>1</v>
      </c>
      <c r="R233">
        <f t="shared" si="20"/>
        <v>0</v>
      </c>
      <c r="S233">
        <f t="shared" si="21"/>
        <v>0</v>
      </c>
      <c r="T233">
        <f t="shared" si="22"/>
        <v>1</v>
      </c>
      <c r="U233">
        <f t="shared" si="23"/>
        <v>0</v>
      </c>
    </row>
    <row r="234" spans="1:21" ht="40.5" customHeight="1">
      <c r="A234" s="2" t="s">
        <v>80</v>
      </c>
      <c r="B234" s="3">
        <v>45658</v>
      </c>
      <c r="C234" s="2" t="s">
        <v>27</v>
      </c>
      <c r="D234" s="2" t="s">
        <v>16</v>
      </c>
      <c r="E234" s="2">
        <v>47241.919999999998</v>
      </c>
      <c r="F234" s="2">
        <v>4264</v>
      </c>
      <c r="G234" s="2">
        <v>6.9000000000000006E-2</v>
      </c>
      <c r="H234" s="2">
        <v>95.3</v>
      </c>
      <c r="I234">
        <f t="shared" si="18"/>
        <v>0</v>
      </c>
      <c r="J234" s="2">
        <v>13</v>
      </c>
      <c r="K234" s="2">
        <v>95.3</v>
      </c>
      <c r="L234" s="2">
        <v>0.85</v>
      </c>
      <c r="M234" s="2">
        <v>0</v>
      </c>
      <c r="N234" s="2">
        <v>4.3</v>
      </c>
      <c r="O234" s="2">
        <v>658072.14</v>
      </c>
      <c r="P234" s="2">
        <v>110595.89</v>
      </c>
      <c r="Q234">
        <f t="shared" si="19"/>
        <v>0</v>
      </c>
      <c r="R234">
        <f t="shared" si="20"/>
        <v>0</v>
      </c>
      <c r="S234">
        <f t="shared" si="21"/>
        <v>0</v>
      </c>
      <c r="T234">
        <f t="shared" si="22"/>
        <v>0</v>
      </c>
      <c r="U234">
        <f t="shared" si="23"/>
        <v>0</v>
      </c>
    </row>
    <row r="235" spans="1:21" ht="40.5" customHeight="1">
      <c r="A235" s="2" t="s">
        <v>80</v>
      </c>
      <c r="B235" s="3">
        <v>45689</v>
      </c>
      <c r="C235" s="2" t="s">
        <v>27</v>
      </c>
      <c r="D235" s="2" t="s">
        <v>16</v>
      </c>
      <c r="E235" s="2">
        <v>61650.79</v>
      </c>
      <c r="F235" s="2">
        <v>5321</v>
      </c>
      <c r="G235" s="2">
        <v>0.126</v>
      </c>
      <c r="H235" s="2">
        <v>89.2</v>
      </c>
      <c r="I235">
        <f t="shared" si="18"/>
        <v>0</v>
      </c>
      <c r="J235" s="2">
        <v>17</v>
      </c>
      <c r="K235" s="2">
        <v>89.2</v>
      </c>
      <c r="L235" s="2">
        <v>2.13</v>
      </c>
      <c r="M235" s="2">
        <v>0</v>
      </c>
      <c r="N235" s="2">
        <v>4</v>
      </c>
      <c r="O235" s="2">
        <v>723305.11</v>
      </c>
      <c r="P235" s="2">
        <v>128468.7</v>
      </c>
      <c r="Q235">
        <f t="shared" si="19"/>
        <v>0</v>
      </c>
      <c r="R235">
        <f t="shared" si="20"/>
        <v>0</v>
      </c>
      <c r="S235">
        <f t="shared" si="21"/>
        <v>0</v>
      </c>
      <c r="T235">
        <f t="shared" si="22"/>
        <v>0</v>
      </c>
      <c r="U235">
        <f t="shared" si="23"/>
        <v>0</v>
      </c>
    </row>
    <row r="236" spans="1:21" ht="40.5" customHeight="1">
      <c r="A236" s="2" t="s">
        <v>80</v>
      </c>
      <c r="B236" s="3">
        <v>45717</v>
      </c>
      <c r="C236" s="2" t="s">
        <v>27</v>
      </c>
      <c r="D236" s="2" t="s">
        <v>16</v>
      </c>
      <c r="E236" s="2">
        <v>62582.71</v>
      </c>
      <c r="F236" s="2">
        <v>5479</v>
      </c>
      <c r="G236" s="2">
        <v>4.8000000000000001E-2</v>
      </c>
      <c r="H236" s="2">
        <v>81.2</v>
      </c>
      <c r="I236">
        <f t="shared" si="18"/>
        <v>0</v>
      </c>
      <c r="J236" s="2">
        <v>16</v>
      </c>
      <c r="K236" s="2">
        <v>81.2</v>
      </c>
      <c r="L236" s="2">
        <v>1.46</v>
      </c>
      <c r="M236" s="2">
        <v>0</v>
      </c>
      <c r="N236" s="2">
        <v>4.5</v>
      </c>
      <c r="O236" s="2">
        <v>640666.53</v>
      </c>
      <c r="P236" s="2">
        <v>134919.16</v>
      </c>
      <c r="Q236">
        <f t="shared" si="19"/>
        <v>0</v>
      </c>
      <c r="R236">
        <f t="shared" si="20"/>
        <v>0</v>
      </c>
      <c r="S236">
        <f t="shared" si="21"/>
        <v>0</v>
      </c>
      <c r="T236">
        <f t="shared" si="22"/>
        <v>0</v>
      </c>
      <c r="U236">
        <f t="shared" si="23"/>
        <v>0</v>
      </c>
    </row>
    <row r="237" spans="1:21" ht="40.5" customHeight="1">
      <c r="A237" s="2" t="s">
        <v>80</v>
      </c>
      <c r="B237" s="3">
        <v>45748</v>
      </c>
      <c r="C237" s="2" t="s">
        <v>27</v>
      </c>
      <c r="D237" s="2" t="s">
        <v>16</v>
      </c>
      <c r="E237" s="2">
        <v>47944.14</v>
      </c>
      <c r="F237" s="2">
        <v>6169</v>
      </c>
      <c r="G237" s="2">
        <v>0.11899999999999999</v>
      </c>
      <c r="H237" s="2">
        <v>92.2</v>
      </c>
      <c r="I237">
        <f t="shared" si="18"/>
        <v>0</v>
      </c>
      <c r="J237" s="2">
        <v>17</v>
      </c>
      <c r="K237" s="2">
        <v>92.2</v>
      </c>
      <c r="L237" s="2">
        <v>3.02</v>
      </c>
      <c r="M237" s="2">
        <v>0</v>
      </c>
      <c r="N237" s="2">
        <v>4.0999999999999996</v>
      </c>
      <c r="O237" s="2">
        <v>670629.48</v>
      </c>
      <c r="P237" s="2">
        <v>100140.8</v>
      </c>
      <c r="Q237">
        <f t="shared" si="19"/>
        <v>0</v>
      </c>
      <c r="R237">
        <f t="shared" si="20"/>
        <v>0</v>
      </c>
      <c r="S237">
        <f t="shared" si="21"/>
        <v>0</v>
      </c>
      <c r="T237">
        <f t="shared" si="22"/>
        <v>0</v>
      </c>
      <c r="U237">
        <f t="shared" si="23"/>
        <v>0</v>
      </c>
    </row>
    <row r="238" spans="1:21" ht="40.5" customHeight="1">
      <c r="A238" s="2" t="s">
        <v>81</v>
      </c>
      <c r="B238" s="3">
        <v>45658</v>
      </c>
      <c r="C238" s="2" t="s">
        <v>27</v>
      </c>
      <c r="D238" s="2" t="s">
        <v>28</v>
      </c>
      <c r="E238" s="2">
        <v>46495.4</v>
      </c>
      <c r="F238" s="2">
        <v>9908</v>
      </c>
      <c r="G238" s="2">
        <v>0.121</v>
      </c>
      <c r="H238" s="2">
        <v>89.4</v>
      </c>
      <c r="I238">
        <f t="shared" si="18"/>
        <v>0</v>
      </c>
      <c r="J238" s="2">
        <v>22</v>
      </c>
      <c r="K238" s="2">
        <v>89.4</v>
      </c>
      <c r="L238" s="2">
        <v>3.22</v>
      </c>
      <c r="M238" s="2">
        <v>0</v>
      </c>
      <c r="N238" s="2">
        <v>3.7</v>
      </c>
      <c r="O238" s="2">
        <v>721079.35</v>
      </c>
      <c r="P238" s="2">
        <v>115295.05</v>
      </c>
      <c r="Q238">
        <f t="shared" si="19"/>
        <v>0</v>
      </c>
      <c r="R238">
        <f t="shared" si="20"/>
        <v>0</v>
      </c>
      <c r="S238">
        <f t="shared" si="21"/>
        <v>0</v>
      </c>
      <c r="T238">
        <f t="shared" si="22"/>
        <v>0</v>
      </c>
      <c r="U238">
        <f t="shared" si="23"/>
        <v>1</v>
      </c>
    </row>
    <row r="239" spans="1:21" ht="40.5" customHeight="1">
      <c r="A239" s="2" t="s">
        <v>81</v>
      </c>
      <c r="B239" s="3">
        <v>45689</v>
      </c>
      <c r="C239" s="2" t="s">
        <v>27</v>
      </c>
      <c r="D239" s="2" t="s">
        <v>28</v>
      </c>
      <c r="E239" s="2">
        <v>72961.95</v>
      </c>
      <c r="F239" s="2">
        <v>9996</v>
      </c>
      <c r="G239" s="2">
        <v>0.106</v>
      </c>
      <c r="H239" s="2">
        <v>89.1</v>
      </c>
      <c r="I239">
        <f t="shared" si="18"/>
        <v>0</v>
      </c>
      <c r="J239" s="2">
        <v>22</v>
      </c>
      <c r="K239" s="2">
        <v>89.1</v>
      </c>
      <c r="L239" s="2">
        <v>15.66</v>
      </c>
      <c r="M239" s="2">
        <v>0</v>
      </c>
      <c r="N239" s="2">
        <v>3.4</v>
      </c>
      <c r="O239" s="2">
        <v>810355.02</v>
      </c>
      <c r="P239" s="2">
        <v>131510</v>
      </c>
      <c r="Q239">
        <f t="shared" si="19"/>
        <v>0</v>
      </c>
      <c r="R239">
        <f t="shared" si="20"/>
        <v>0</v>
      </c>
      <c r="S239">
        <f t="shared" si="21"/>
        <v>0</v>
      </c>
      <c r="T239">
        <f t="shared" si="22"/>
        <v>0</v>
      </c>
      <c r="U239">
        <f t="shared" si="23"/>
        <v>1</v>
      </c>
    </row>
    <row r="240" spans="1:21" ht="40.5" customHeight="1">
      <c r="A240" s="2" t="s">
        <v>81</v>
      </c>
      <c r="B240" s="3">
        <v>45717</v>
      </c>
      <c r="C240" s="2" t="s">
        <v>27</v>
      </c>
      <c r="D240" s="2" t="s">
        <v>28</v>
      </c>
      <c r="E240" s="2">
        <v>59060.05</v>
      </c>
      <c r="F240" s="2">
        <v>9702</v>
      </c>
      <c r="G240" s="2">
        <v>0.20100000000000001</v>
      </c>
      <c r="H240" s="2">
        <v>80.900000000000006</v>
      </c>
      <c r="I240">
        <f t="shared" si="18"/>
        <v>0</v>
      </c>
      <c r="J240" s="2">
        <v>23</v>
      </c>
      <c r="K240" s="2">
        <v>80.900000000000006</v>
      </c>
      <c r="L240" s="2">
        <v>6.96</v>
      </c>
      <c r="M240" s="2">
        <v>0</v>
      </c>
      <c r="N240" s="2">
        <v>3.2</v>
      </c>
      <c r="O240" s="2">
        <v>761919.25</v>
      </c>
      <c r="P240" s="2">
        <v>111893.06</v>
      </c>
      <c r="Q240">
        <f t="shared" si="19"/>
        <v>0</v>
      </c>
      <c r="R240">
        <f t="shared" si="20"/>
        <v>0</v>
      </c>
      <c r="S240">
        <f t="shared" si="21"/>
        <v>0</v>
      </c>
      <c r="T240">
        <f t="shared" si="22"/>
        <v>0</v>
      </c>
      <c r="U240">
        <f t="shared" si="23"/>
        <v>1</v>
      </c>
    </row>
    <row r="241" spans="1:21" ht="40.5" customHeight="1">
      <c r="A241" s="2" t="s">
        <v>81</v>
      </c>
      <c r="B241" s="3">
        <v>45748</v>
      </c>
      <c r="C241" s="2" t="s">
        <v>27</v>
      </c>
      <c r="D241" s="2" t="s">
        <v>28</v>
      </c>
      <c r="E241" s="2">
        <v>26248.1</v>
      </c>
      <c r="F241" s="2">
        <v>9314</v>
      </c>
      <c r="G241" s="2">
        <v>0.186</v>
      </c>
      <c r="H241" s="2">
        <v>83.7</v>
      </c>
      <c r="I241">
        <f t="shared" si="18"/>
        <v>0</v>
      </c>
      <c r="J241" s="2">
        <v>21</v>
      </c>
      <c r="K241" s="2">
        <v>83.7</v>
      </c>
      <c r="L241" s="2">
        <v>4.62</v>
      </c>
      <c r="M241" s="2">
        <v>0</v>
      </c>
      <c r="N241" s="2">
        <v>3.3</v>
      </c>
      <c r="O241" s="2">
        <v>737070.18</v>
      </c>
      <c r="P241" s="2">
        <v>117593.97</v>
      </c>
      <c r="Q241">
        <f t="shared" si="19"/>
        <v>0</v>
      </c>
      <c r="R241">
        <f t="shared" si="20"/>
        <v>0</v>
      </c>
      <c r="S241">
        <f t="shared" si="21"/>
        <v>0</v>
      </c>
      <c r="T241">
        <f t="shared" si="22"/>
        <v>0</v>
      </c>
      <c r="U241">
        <f t="shared" si="23"/>
        <v>1</v>
      </c>
    </row>
    <row r="242" spans="1:21" ht="40.5" customHeight="1">
      <c r="A242" s="2" t="s">
        <v>82</v>
      </c>
      <c r="B242" s="3">
        <v>45658</v>
      </c>
      <c r="C242" s="2" t="s">
        <v>24</v>
      </c>
      <c r="D242" s="2" t="s">
        <v>21</v>
      </c>
      <c r="E242" s="2">
        <v>69900.12</v>
      </c>
      <c r="F242" s="2">
        <v>8055</v>
      </c>
      <c r="G242" s="2">
        <v>0.28100000000000003</v>
      </c>
      <c r="H242" s="2">
        <v>85.6</v>
      </c>
      <c r="I242">
        <f t="shared" si="18"/>
        <v>0</v>
      </c>
      <c r="J242" s="2">
        <v>22</v>
      </c>
      <c r="K242" s="2">
        <v>85.6</v>
      </c>
      <c r="L242" s="2">
        <v>10.68</v>
      </c>
      <c r="M242" s="2">
        <v>1</v>
      </c>
      <c r="N242" s="2">
        <v>2.9</v>
      </c>
      <c r="O242" s="2">
        <v>776992.93</v>
      </c>
      <c r="P242" s="2">
        <v>101598.32</v>
      </c>
      <c r="Q242">
        <f t="shared" si="19"/>
        <v>0</v>
      </c>
      <c r="R242">
        <f t="shared" si="20"/>
        <v>1</v>
      </c>
      <c r="S242">
        <f t="shared" si="21"/>
        <v>1</v>
      </c>
      <c r="T242">
        <f t="shared" si="22"/>
        <v>0</v>
      </c>
      <c r="U242">
        <f t="shared" si="23"/>
        <v>0</v>
      </c>
    </row>
    <row r="243" spans="1:21" ht="40.5" customHeight="1">
      <c r="A243" s="2" t="s">
        <v>82</v>
      </c>
      <c r="B243" s="3">
        <v>45689</v>
      </c>
      <c r="C243" s="2" t="s">
        <v>24</v>
      </c>
      <c r="D243" s="2" t="s">
        <v>21</v>
      </c>
      <c r="E243" s="2">
        <v>51781.599999999999</v>
      </c>
      <c r="F243" s="2">
        <v>5648</v>
      </c>
      <c r="G243" s="2">
        <v>5.8999999999999997E-2</v>
      </c>
      <c r="H243" s="2">
        <v>85.5</v>
      </c>
      <c r="I243">
        <f t="shared" si="18"/>
        <v>0</v>
      </c>
      <c r="J243" s="2">
        <v>13</v>
      </c>
      <c r="K243" s="2">
        <v>85.5</v>
      </c>
      <c r="L243" s="2">
        <v>4.04</v>
      </c>
      <c r="M243" s="2">
        <v>0</v>
      </c>
      <c r="N243" s="2">
        <v>3.7</v>
      </c>
      <c r="O243" s="2">
        <v>676337.41</v>
      </c>
      <c r="P243" s="2">
        <v>104355.77</v>
      </c>
      <c r="Q243">
        <f t="shared" si="19"/>
        <v>0</v>
      </c>
      <c r="R243">
        <f t="shared" si="20"/>
        <v>1</v>
      </c>
      <c r="S243">
        <f t="shared" si="21"/>
        <v>1</v>
      </c>
      <c r="T243">
        <f t="shared" si="22"/>
        <v>0</v>
      </c>
      <c r="U243">
        <f t="shared" si="23"/>
        <v>0</v>
      </c>
    </row>
    <row r="244" spans="1:21" ht="40.5" customHeight="1">
      <c r="A244" s="2" t="s">
        <v>82</v>
      </c>
      <c r="B244" s="3">
        <v>45717</v>
      </c>
      <c r="C244" s="2" t="s">
        <v>24</v>
      </c>
      <c r="D244" s="2" t="s">
        <v>21</v>
      </c>
      <c r="E244" s="2">
        <v>70799.64</v>
      </c>
      <c r="F244" s="2">
        <v>10076</v>
      </c>
      <c r="G244" s="2">
        <v>0.152</v>
      </c>
      <c r="H244" s="2">
        <v>84.8</v>
      </c>
      <c r="I244">
        <f t="shared" si="18"/>
        <v>0</v>
      </c>
      <c r="J244" s="2">
        <v>24</v>
      </c>
      <c r="K244" s="2">
        <v>84.8</v>
      </c>
      <c r="L244" s="2">
        <v>1.87</v>
      </c>
      <c r="M244" s="2">
        <v>0</v>
      </c>
      <c r="N244" s="2">
        <v>3.5</v>
      </c>
      <c r="O244" s="2">
        <v>828219.67</v>
      </c>
      <c r="P244" s="2">
        <v>179806.87</v>
      </c>
      <c r="Q244">
        <f t="shared" si="19"/>
        <v>0</v>
      </c>
      <c r="R244">
        <f t="shared" si="20"/>
        <v>1</v>
      </c>
      <c r="S244">
        <f t="shared" si="21"/>
        <v>1</v>
      </c>
      <c r="T244">
        <f t="shared" si="22"/>
        <v>0</v>
      </c>
      <c r="U244">
        <f t="shared" si="23"/>
        <v>0</v>
      </c>
    </row>
    <row r="245" spans="1:21" ht="40.5" customHeight="1">
      <c r="A245" s="2" t="s">
        <v>82</v>
      </c>
      <c r="B245" s="3">
        <v>45748</v>
      </c>
      <c r="C245" s="2" t="s">
        <v>24</v>
      </c>
      <c r="D245" s="2" t="s">
        <v>21</v>
      </c>
      <c r="E245" s="2">
        <v>53546.34</v>
      </c>
      <c r="F245" s="2">
        <v>8004</v>
      </c>
      <c r="G245" s="2">
        <v>0</v>
      </c>
      <c r="H245" s="2">
        <v>95.2</v>
      </c>
      <c r="I245">
        <f t="shared" si="18"/>
        <v>0</v>
      </c>
      <c r="J245" s="2">
        <v>21</v>
      </c>
      <c r="K245" s="2">
        <v>95.2</v>
      </c>
      <c r="L245" s="2">
        <v>2.83</v>
      </c>
      <c r="M245" s="2">
        <v>0</v>
      </c>
      <c r="N245" s="2">
        <v>3</v>
      </c>
      <c r="O245" s="2">
        <v>763159.92</v>
      </c>
      <c r="P245" s="2">
        <v>177104.87</v>
      </c>
      <c r="Q245">
        <f t="shared" si="19"/>
        <v>0</v>
      </c>
      <c r="R245">
        <f t="shared" si="20"/>
        <v>1</v>
      </c>
      <c r="S245">
        <f t="shared" si="21"/>
        <v>1</v>
      </c>
      <c r="T245">
        <f t="shared" si="22"/>
        <v>0</v>
      </c>
      <c r="U245">
        <f t="shared" si="23"/>
        <v>0</v>
      </c>
    </row>
    <row r="246" spans="1:21" ht="40.5" customHeight="1">
      <c r="A246" s="2" t="s">
        <v>83</v>
      </c>
      <c r="B246" s="3">
        <v>45658</v>
      </c>
      <c r="C246" s="2" t="s">
        <v>15</v>
      </c>
      <c r="D246" s="2" t="s">
        <v>18</v>
      </c>
      <c r="E246" s="2">
        <v>76942.2</v>
      </c>
      <c r="F246" s="2">
        <v>8934</v>
      </c>
      <c r="G246" s="2">
        <v>8.4000000000000005E-2</v>
      </c>
      <c r="H246" s="2">
        <v>91</v>
      </c>
      <c r="I246">
        <f t="shared" si="18"/>
        <v>0</v>
      </c>
      <c r="J246" s="2">
        <v>20</v>
      </c>
      <c r="K246" s="2">
        <v>91</v>
      </c>
      <c r="L246" s="2">
        <v>0.95</v>
      </c>
      <c r="M246" s="2">
        <v>0</v>
      </c>
      <c r="N246" s="2">
        <v>3.2</v>
      </c>
      <c r="O246" s="2">
        <v>802001.68</v>
      </c>
      <c r="P246" s="2">
        <v>159715.82</v>
      </c>
      <c r="Q246">
        <f t="shared" si="19"/>
        <v>1</v>
      </c>
      <c r="R246">
        <f t="shared" si="20"/>
        <v>0</v>
      </c>
      <c r="S246">
        <f t="shared" si="21"/>
        <v>0</v>
      </c>
      <c r="T246">
        <f t="shared" si="22"/>
        <v>1</v>
      </c>
      <c r="U246">
        <f t="shared" si="23"/>
        <v>0</v>
      </c>
    </row>
    <row r="247" spans="1:21" ht="40.5" customHeight="1">
      <c r="A247" s="2" t="s">
        <v>83</v>
      </c>
      <c r="B247" s="3">
        <v>45689</v>
      </c>
      <c r="C247" s="2" t="s">
        <v>15</v>
      </c>
      <c r="D247" s="2" t="s">
        <v>18</v>
      </c>
      <c r="E247" s="2">
        <v>48060.78</v>
      </c>
      <c r="F247" s="2">
        <v>8733</v>
      </c>
      <c r="G247" s="2">
        <v>0</v>
      </c>
      <c r="H247" s="2">
        <v>89.9</v>
      </c>
      <c r="I247">
        <f t="shared" si="18"/>
        <v>0</v>
      </c>
      <c r="J247" s="2">
        <v>20</v>
      </c>
      <c r="K247" s="2">
        <v>89.9</v>
      </c>
      <c r="L247" s="2">
        <v>0.8</v>
      </c>
      <c r="M247" s="2">
        <v>0</v>
      </c>
      <c r="N247" s="2">
        <v>3.4</v>
      </c>
      <c r="O247" s="2">
        <v>750471.34</v>
      </c>
      <c r="P247" s="2">
        <v>133788.04</v>
      </c>
      <c r="Q247">
        <f t="shared" si="19"/>
        <v>1</v>
      </c>
      <c r="R247">
        <f t="shared" si="20"/>
        <v>0</v>
      </c>
      <c r="S247">
        <f t="shared" si="21"/>
        <v>0</v>
      </c>
      <c r="T247">
        <f t="shared" si="22"/>
        <v>1</v>
      </c>
      <c r="U247">
        <f t="shared" si="23"/>
        <v>0</v>
      </c>
    </row>
    <row r="248" spans="1:21" ht="40.5" customHeight="1">
      <c r="A248" s="2" t="s">
        <v>83</v>
      </c>
      <c r="B248" s="3">
        <v>45717</v>
      </c>
      <c r="C248" s="2" t="s">
        <v>15</v>
      </c>
      <c r="D248" s="2" t="s">
        <v>18</v>
      </c>
      <c r="E248" s="2">
        <v>57390.04</v>
      </c>
      <c r="F248" s="2">
        <v>7374</v>
      </c>
      <c r="G248" s="2">
        <v>0.21</v>
      </c>
      <c r="H248" s="2">
        <v>91.8</v>
      </c>
      <c r="I248">
        <f t="shared" si="18"/>
        <v>0</v>
      </c>
      <c r="J248" s="2">
        <v>21</v>
      </c>
      <c r="K248" s="2">
        <v>91.8</v>
      </c>
      <c r="L248" s="2">
        <v>0.2</v>
      </c>
      <c r="M248" s="2">
        <v>0</v>
      </c>
      <c r="N248" s="2">
        <v>3.1</v>
      </c>
      <c r="O248" s="2">
        <v>679230.86</v>
      </c>
      <c r="P248" s="2">
        <v>106927.58</v>
      </c>
      <c r="Q248">
        <f t="shared" si="19"/>
        <v>1</v>
      </c>
      <c r="R248">
        <f t="shared" si="20"/>
        <v>0</v>
      </c>
      <c r="S248">
        <f t="shared" si="21"/>
        <v>0</v>
      </c>
      <c r="T248">
        <f t="shared" si="22"/>
        <v>1</v>
      </c>
      <c r="U248">
        <f t="shared" si="23"/>
        <v>0</v>
      </c>
    </row>
    <row r="249" spans="1:21" ht="40.5" customHeight="1">
      <c r="A249" s="2" t="s">
        <v>83</v>
      </c>
      <c r="B249" s="3">
        <v>45748</v>
      </c>
      <c r="C249" s="2" t="s">
        <v>15</v>
      </c>
      <c r="D249" s="2" t="s">
        <v>18</v>
      </c>
      <c r="E249" s="2">
        <v>21536.18</v>
      </c>
      <c r="F249" s="2">
        <v>8119</v>
      </c>
      <c r="G249" s="2">
        <v>0.22700000000000001</v>
      </c>
      <c r="H249" s="2">
        <v>90.4</v>
      </c>
      <c r="I249">
        <f t="shared" si="18"/>
        <v>0</v>
      </c>
      <c r="J249" s="2">
        <v>20</v>
      </c>
      <c r="K249" s="2">
        <v>90.4</v>
      </c>
      <c r="L249" s="2">
        <v>1.7</v>
      </c>
      <c r="M249" s="2">
        <v>0</v>
      </c>
      <c r="N249" s="2">
        <v>3.3</v>
      </c>
      <c r="O249" s="2">
        <v>679888.74</v>
      </c>
      <c r="P249" s="2">
        <v>83406.89</v>
      </c>
      <c r="Q249">
        <f t="shared" si="19"/>
        <v>1</v>
      </c>
      <c r="R249">
        <f t="shared" si="20"/>
        <v>0</v>
      </c>
      <c r="S249">
        <f t="shared" si="21"/>
        <v>0</v>
      </c>
      <c r="T249">
        <f t="shared" si="22"/>
        <v>1</v>
      </c>
      <c r="U249">
        <f t="shared" si="23"/>
        <v>0</v>
      </c>
    </row>
    <row r="250" spans="1:21" ht="40.5" customHeight="1">
      <c r="A250" s="2" t="s">
        <v>84</v>
      </c>
      <c r="B250" s="3">
        <v>45658</v>
      </c>
      <c r="C250" s="2" t="s">
        <v>20</v>
      </c>
      <c r="D250" s="2" t="s">
        <v>18</v>
      </c>
      <c r="E250" s="2">
        <v>40923.67</v>
      </c>
      <c r="F250" s="2">
        <v>3875</v>
      </c>
      <c r="G250" s="2">
        <v>0.15</v>
      </c>
      <c r="H250" s="2">
        <v>96.1</v>
      </c>
      <c r="I250">
        <f t="shared" si="18"/>
        <v>1</v>
      </c>
      <c r="J250" s="2">
        <v>10</v>
      </c>
      <c r="K250" s="2">
        <v>96.1</v>
      </c>
      <c r="L250" s="2"/>
      <c r="M250" s="2">
        <v>0</v>
      </c>
      <c r="N250" s="2">
        <v>3.8</v>
      </c>
      <c r="O250" s="2">
        <v>606783.67000000004</v>
      </c>
      <c r="P250" s="2">
        <v>74515.87</v>
      </c>
      <c r="Q250">
        <f t="shared" si="19"/>
        <v>0</v>
      </c>
      <c r="R250">
        <f t="shared" si="20"/>
        <v>0</v>
      </c>
      <c r="S250">
        <f t="shared" si="21"/>
        <v>0</v>
      </c>
      <c r="T250">
        <f t="shared" si="22"/>
        <v>1</v>
      </c>
      <c r="U250">
        <f t="shared" si="23"/>
        <v>0</v>
      </c>
    </row>
    <row r="251" spans="1:21" ht="40.5" customHeight="1">
      <c r="A251" s="2" t="s">
        <v>84</v>
      </c>
      <c r="B251" s="3">
        <v>45689</v>
      </c>
      <c r="C251" s="2" t="s">
        <v>20</v>
      </c>
      <c r="D251" s="2" t="s">
        <v>18</v>
      </c>
      <c r="E251" s="2">
        <v>72932.55</v>
      </c>
      <c r="F251" s="2">
        <v>5765</v>
      </c>
      <c r="G251" s="2">
        <v>2.5999999999999999E-2</v>
      </c>
      <c r="H251" s="2">
        <v>81.8</v>
      </c>
      <c r="I251">
        <f t="shared" si="18"/>
        <v>1</v>
      </c>
      <c r="J251" s="2">
        <v>17</v>
      </c>
      <c r="K251" s="2">
        <v>81.8</v>
      </c>
      <c r="L251" s="2">
        <v>5.0999999999999996</v>
      </c>
      <c r="M251" s="2">
        <v>0</v>
      </c>
      <c r="N251" s="2">
        <v>3.6</v>
      </c>
      <c r="O251" s="2">
        <v>642751.42000000004</v>
      </c>
      <c r="P251" s="2">
        <v>131942.15</v>
      </c>
      <c r="Q251">
        <f t="shared" si="19"/>
        <v>0</v>
      </c>
      <c r="R251">
        <f t="shared" si="20"/>
        <v>0</v>
      </c>
      <c r="S251">
        <f t="shared" si="21"/>
        <v>0</v>
      </c>
      <c r="T251">
        <f t="shared" si="22"/>
        <v>1</v>
      </c>
      <c r="U251">
        <f t="shared" si="23"/>
        <v>0</v>
      </c>
    </row>
    <row r="252" spans="1:21" ht="40.5" customHeight="1">
      <c r="A252" s="2" t="s">
        <v>84</v>
      </c>
      <c r="B252" s="3">
        <v>45717</v>
      </c>
      <c r="C252" s="2" t="s">
        <v>20</v>
      </c>
      <c r="D252" s="2" t="s">
        <v>18</v>
      </c>
      <c r="E252" s="2">
        <v>38361.93</v>
      </c>
      <c r="F252" s="2">
        <v>6322</v>
      </c>
      <c r="G252" s="2">
        <v>0.27300000000000002</v>
      </c>
      <c r="H252" s="2">
        <v>88.4</v>
      </c>
      <c r="I252">
        <f t="shared" si="18"/>
        <v>1</v>
      </c>
      <c r="J252" s="2">
        <v>15</v>
      </c>
      <c r="K252" s="2">
        <v>88.4</v>
      </c>
      <c r="L252" s="2">
        <v>0.83</v>
      </c>
      <c r="M252" s="2">
        <v>0</v>
      </c>
      <c r="N252" s="2">
        <v>4</v>
      </c>
      <c r="O252" s="2">
        <v>647953.78</v>
      </c>
      <c r="P252" s="2">
        <v>118497.43</v>
      </c>
      <c r="Q252">
        <f t="shared" si="19"/>
        <v>0</v>
      </c>
      <c r="R252">
        <f t="shared" si="20"/>
        <v>0</v>
      </c>
      <c r="S252">
        <f t="shared" si="21"/>
        <v>0</v>
      </c>
      <c r="T252">
        <f t="shared" si="22"/>
        <v>1</v>
      </c>
      <c r="U252">
        <f t="shared" si="23"/>
        <v>0</v>
      </c>
    </row>
    <row r="253" spans="1:21" ht="40.5" customHeight="1">
      <c r="A253" s="2" t="s">
        <v>84</v>
      </c>
      <c r="B253" s="3">
        <v>45748</v>
      </c>
      <c r="C253" s="2" t="s">
        <v>20</v>
      </c>
      <c r="D253" s="2" t="s">
        <v>18</v>
      </c>
      <c r="E253" s="2">
        <v>97480.94</v>
      </c>
      <c r="F253" s="2">
        <v>6840</v>
      </c>
      <c r="G253" s="2">
        <v>8.6999999999999994E-2</v>
      </c>
      <c r="H253" s="2">
        <v>79.2</v>
      </c>
      <c r="I253">
        <f t="shared" si="18"/>
        <v>1</v>
      </c>
      <c r="J253" s="2">
        <v>14</v>
      </c>
      <c r="K253" s="2">
        <v>79.2</v>
      </c>
      <c r="L253" s="2">
        <v>1.1399999999999999</v>
      </c>
      <c r="M253" s="2">
        <v>0</v>
      </c>
      <c r="N253" s="2">
        <v>4</v>
      </c>
      <c r="O253" s="2">
        <v>729440.45</v>
      </c>
      <c r="P253" s="2">
        <v>87614.29</v>
      </c>
      <c r="Q253">
        <f t="shared" si="19"/>
        <v>0</v>
      </c>
      <c r="R253">
        <f t="shared" si="20"/>
        <v>0</v>
      </c>
      <c r="S253">
        <f t="shared" si="21"/>
        <v>0</v>
      </c>
      <c r="T253">
        <f t="shared" si="22"/>
        <v>1</v>
      </c>
      <c r="U253">
        <f t="shared" si="23"/>
        <v>0</v>
      </c>
    </row>
    <row r="254" spans="1:21" ht="40.5" customHeight="1">
      <c r="A254" s="2" t="s">
        <v>85</v>
      </c>
      <c r="B254" s="3">
        <v>45658</v>
      </c>
      <c r="C254" s="2" t="s">
        <v>24</v>
      </c>
      <c r="D254" s="2" t="s">
        <v>21</v>
      </c>
      <c r="E254" s="2">
        <v>81801.8</v>
      </c>
      <c r="F254" s="2">
        <v>6782</v>
      </c>
      <c r="G254" s="2">
        <v>0.05</v>
      </c>
      <c r="H254" s="2">
        <v>99</v>
      </c>
      <c r="I254">
        <f t="shared" si="18"/>
        <v>0</v>
      </c>
      <c r="J254" s="2">
        <v>16</v>
      </c>
      <c r="K254" s="2">
        <v>99</v>
      </c>
      <c r="L254" s="2">
        <v>9.5399999999999991</v>
      </c>
      <c r="M254" s="2">
        <v>0</v>
      </c>
      <c r="N254" s="2">
        <v>3.7</v>
      </c>
      <c r="O254" s="2">
        <v>764949</v>
      </c>
      <c r="P254" s="2">
        <v>148322.43</v>
      </c>
      <c r="Q254">
        <f t="shared" si="19"/>
        <v>0</v>
      </c>
      <c r="R254">
        <f t="shared" si="20"/>
        <v>1</v>
      </c>
      <c r="S254">
        <f t="shared" si="21"/>
        <v>1</v>
      </c>
      <c r="T254">
        <f t="shared" si="22"/>
        <v>0</v>
      </c>
      <c r="U254">
        <f t="shared" si="23"/>
        <v>0</v>
      </c>
    </row>
    <row r="255" spans="1:21" ht="40.5" customHeight="1">
      <c r="A255" s="2" t="s">
        <v>85</v>
      </c>
      <c r="B255" s="3">
        <v>45689</v>
      </c>
      <c r="C255" s="2" t="s">
        <v>24</v>
      </c>
      <c r="D255" s="2" t="s">
        <v>21</v>
      </c>
      <c r="E255" s="2">
        <v>63582.11</v>
      </c>
      <c r="F255" s="2">
        <v>6856</v>
      </c>
      <c r="G255" s="2">
        <v>7.3999999999999996E-2</v>
      </c>
      <c r="H255" s="2">
        <v>89.5</v>
      </c>
      <c r="I255">
        <f t="shared" si="18"/>
        <v>0</v>
      </c>
      <c r="J255" s="2">
        <v>17</v>
      </c>
      <c r="K255" s="2">
        <v>89.5</v>
      </c>
      <c r="L255" s="2">
        <v>5.48</v>
      </c>
      <c r="M255" s="2">
        <v>0</v>
      </c>
      <c r="N255" s="2">
        <v>3.2</v>
      </c>
      <c r="O255" s="2">
        <v>799046.94</v>
      </c>
      <c r="P255" s="2">
        <v>144553.64000000001</v>
      </c>
      <c r="Q255">
        <f t="shared" si="19"/>
        <v>0</v>
      </c>
      <c r="R255">
        <f t="shared" si="20"/>
        <v>1</v>
      </c>
      <c r="S255">
        <f t="shared" si="21"/>
        <v>1</v>
      </c>
      <c r="T255">
        <f t="shared" si="22"/>
        <v>0</v>
      </c>
      <c r="U255">
        <f t="shared" si="23"/>
        <v>0</v>
      </c>
    </row>
    <row r="256" spans="1:21" ht="40.5" customHeight="1">
      <c r="A256" s="2" t="s">
        <v>85</v>
      </c>
      <c r="B256" s="3">
        <v>45717</v>
      </c>
      <c r="C256" s="2" t="s">
        <v>24</v>
      </c>
      <c r="D256" s="2" t="s">
        <v>21</v>
      </c>
      <c r="E256" s="2">
        <v>75412.740000000005</v>
      </c>
      <c r="F256" s="2">
        <v>5641</v>
      </c>
      <c r="G256" s="2">
        <v>5.8999999999999997E-2</v>
      </c>
      <c r="H256" s="2">
        <v>87.9</v>
      </c>
      <c r="I256">
        <f t="shared" si="18"/>
        <v>0</v>
      </c>
      <c r="J256" s="2">
        <v>13</v>
      </c>
      <c r="K256" s="2">
        <v>87.9</v>
      </c>
      <c r="L256" s="2">
        <v>0.84</v>
      </c>
      <c r="M256" s="2">
        <v>0</v>
      </c>
      <c r="N256" s="2">
        <v>3.6</v>
      </c>
      <c r="O256" s="2">
        <v>720079.54</v>
      </c>
      <c r="P256" s="2">
        <v>119499.47</v>
      </c>
      <c r="Q256">
        <f t="shared" si="19"/>
        <v>0</v>
      </c>
      <c r="R256">
        <f t="shared" si="20"/>
        <v>1</v>
      </c>
      <c r="S256">
        <f t="shared" si="21"/>
        <v>1</v>
      </c>
      <c r="T256">
        <f t="shared" si="22"/>
        <v>0</v>
      </c>
      <c r="U256">
        <f t="shared" si="23"/>
        <v>0</v>
      </c>
    </row>
    <row r="257" spans="1:21" ht="40.5" customHeight="1">
      <c r="A257" s="2" t="s">
        <v>85</v>
      </c>
      <c r="B257" s="3">
        <v>45748</v>
      </c>
      <c r="C257" s="2" t="s">
        <v>24</v>
      </c>
      <c r="D257" s="2" t="s">
        <v>21</v>
      </c>
      <c r="E257" s="2">
        <v>36290.080000000002</v>
      </c>
      <c r="F257" s="2">
        <v>5787</v>
      </c>
      <c r="G257" s="2">
        <v>0</v>
      </c>
      <c r="H257" s="2">
        <v>88.3</v>
      </c>
      <c r="I257">
        <f t="shared" si="18"/>
        <v>0</v>
      </c>
      <c r="J257" s="2">
        <v>17</v>
      </c>
      <c r="K257" s="2">
        <v>88.3</v>
      </c>
      <c r="L257" s="2">
        <v>4.1900000000000004</v>
      </c>
      <c r="M257" s="2">
        <v>0</v>
      </c>
      <c r="N257" s="2">
        <v>4.0999999999999996</v>
      </c>
      <c r="O257" s="2">
        <v>612390.14</v>
      </c>
      <c r="P257" s="2">
        <v>108985.74</v>
      </c>
      <c r="Q257">
        <f t="shared" si="19"/>
        <v>0</v>
      </c>
      <c r="R257">
        <f t="shared" si="20"/>
        <v>1</v>
      </c>
      <c r="S257">
        <f t="shared" si="21"/>
        <v>1</v>
      </c>
      <c r="T257">
        <f t="shared" si="22"/>
        <v>0</v>
      </c>
      <c r="U257">
        <f t="shared" si="23"/>
        <v>0</v>
      </c>
    </row>
    <row r="258" spans="1:21" ht="40.5" customHeight="1">
      <c r="A258" s="2" t="s">
        <v>86</v>
      </c>
      <c r="B258" s="3">
        <v>45658</v>
      </c>
      <c r="C258" s="2" t="s">
        <v>24</v>
      </c>
      <c r="D258" s="2" t="s">
        <v>28</v>
      </c>
      <c r="E258" s="2">
        <v>65272.58</v>
      </c>
      <c r="F258" s="2">
        <v>8165</v>
      </c>
      <c r="G258" s="2">
        <v>5.0999999999999997E-2</v>
      </c>
      <c r="H258" s="2">
        <v>87.8</v>
      </c>
      <c r="I258">
        <f t="shared" ref="I258:I321" si="24">IF(C258="North",1,0)</f>
        <v>0</v>
      </c>
      <c r="J258" s="2">
        <v>19</v>
      </c>
      <c r="K258" s="2">
        <v>87.8</v>
      </c>
      <c r="L258" s="2">
        <v>1.26</v>
      </c>
      <c r="M258" s="2">
        <v>1</v>
      </c>
      <c r="N258" s="2">
        <v>4.3</v>
      </c>
      <c r="O258" s="2">
        <v>840108.12</v>
      </c>
      <c r="P258" s="2">
        <v>126587.01</v>
      </c>
      <c r="Q258">
        <f t="shared" si="19"/>
        <v>0</v>
      </c>
      <c r="R258">
        <f t="shared" si="20"/>
        <v>1</v>
      </c>
      <c r="S258">
        <f t="shared" si="21"/>
        <v>0</v>
      </c>
      <c r="T258">
        <f t="shared" si="22"/>
        <v>0</v>
      </c>
      <c r="U258">
        <f t="shared" si="23"/>
        <v>1</v>
      </c>
    </row>
    <row r="259" spans="1:21" ht="40.5" customHeight="1">
      <c r="A259" s="2" t="s">
        <v>86</v>
      </c>
      <c r="B259" s="3">
        <v>45689</v>
      </c>
      <c r="C259" s="2" t="s">
        <v>24</v>
      </c>
      <c r="D259" s="2" t="s">
        <v>28</v>
      </c>
      <c r="E259" s="2">
        <v>28670.43</v>
      </c>
      <c r="F259" s="2">
        <v>7574</v>
      </c>
      <c r="G259" s="2">
        <v>0.114</v>
      </c>
      <c r="H259" s="2">
        <v>82.7</v>
      </c>
      <c r="I259">
        <f t="shared" si="24"/>
        <v>0</v>
      </c>
      <c r="J259" s="2">
        <v>19</v>
      </c>
      <c r="K259" s="2">
        <v>82.7</v>
      </c>
      <c r="L259" s="2">
        <v>2.74</v>
      </c>
      <c r="M259" s="2">
        <v>0</v>
      </c>
      <c r="N259" s="2">
        <v>4.5999999999999996</v>
      </c>
      <c r="O259" s="2">
        <v>697888.09</v>
      </c>
      <c r="P259" s="2">
        <v>116249.87</v>
      </c>
      <c r="Q259">
        <f t="shared" ref="Q259:Q321" si="25">IF(C259="East",1,0)</f>
        <v>0</v>
      </c>
      <c r="R259">
        <f t="shared" ref="R259:R321" si="26">IF(C259="South",1,0)</f>
        <v>1</v>
      </c>
      <c r="S259">
        <f t="shared" ref="S259:S321" si="27">IF(D259="Airport",1,0)</f>
        <v>0</v>
      </c>
      <c r="T259">
        <f t="shared" ref="T259:T321" si="28">IF(D259="High Street",1,0)</f>
        <v>0</v>
      </c>
      <c r="U259">
        <f t="shared" ref="U259:U321" si="29">IF(D259="Mall",1,0)</f>
        <v>1</v>
      </c>
    </row>
    <row r="260" spans="1:21" ht="40.5" customHeight="1">
      <c r="A260" s="2" t="s">
        <v>86</v>
      </c>
      <c r="B260" s="3">
        <v>45717</v>
      </c>
      <c r="C260" s="2" t="s">
        <v>24</v>
      </c>
      <c r="D260" s="2" t="s">
        <v>28</v>
      </c>
      <c r="E260" s="2">
        <v>44189.34</v>
      </c>
      <c r="F260" s="2">
        <v>8634</v>
      </c>
      <c r="G260" s="2">
        <v>0.14299999999999999</v>
      </c>
      <c r="H260" s="2">
        <v>87.5</v>
      </c>
      <c r="I260">
        <f t="shared" si="24"/>
        <v>0</v>
      </c>
      <c r="J260" s="2">
        <v>19</v>
      </c>
      <c r="K260" s="2">
        <v>87.5</v>
      </c>
      <c r="L260" s="2">
        <v>3.69</v>
      </c>
      <c r="M260" s="2">
        <v>0</v>
      </c>
      <c r="N260" s="2">
        <v>4.4000000000000004</v>
      </c>
      <c r="O260" s="2">
        <v>746115.59</v>
      </c>
      <c r="P260" s="2">
        <v>94662.96</v>
      </c>
      <c r="Q260">
        <f t="shared" si="25"/>
        <v>0</v>
      </c>
      <c r="R260">
        <f t="shared" si="26"/>
        <v>1</v>
      </c>
      <c r="S260">
        <f t="shared" si="27"/>
        <v>0</v>
      </c>
      <c r="T260">
        <f t="shared" si="28"/>
        <v>0</v>
      </c>
      <c r="U260">
        <f t="shared" si="29"/>
        <v>1</v>
      </c>
    </row>
    <row r="261" spans="1:21" ht="40.5" customHeight="1">
      <c r="A261" s="2" t="s">
        <v>86</v>
      </c>
      <c r="B261" s="3">
        <v>45748</v>
      </c>
      <c r="C261" s="2" t="s">
        <v>24</v>
      </c>
      <c r="D261" s="2" t="s">
        <v>28</v>
      </c>
      <c r="E261" s="2">
        <v>38397.82</v>
      </c>
      <c r="F261" s="2">
        <v>7836</v>
      </c>
      <c r="G261" s="2">
        <v>7.0000000000000001E-3</v>
      </c>
      <c r="H261" s="2">
        <v>92.2</v>
      </c>
      <c r="I261">
        <f t="shared" si="24"/>
        <v>0</v>
      </c>
      <c r="J261" s="2">
        <v>21</v>
      </c>
      <c r="K261" s="2">
        <v>92.2</v>
      </c>
      <c r="L261" s="2">
        <v>1.82</v>
      </c>
      <c r="M261" s="2">
        <v>0</v>
      </c>
      <c r="N261" s="2">
        <v>3.6</v>
      </c>
      <c r="O261" s="2">
        <v>776110.32</v>
      </c>
      <c r="P261" s="2">
        <v>139676.21</v>
      </c>
      <c r="Q261">
        <f t="shared" si="25"/>
        <v>0</v>
      </c>
      <c r="R261">
        <f t="shared" si="26"/>
        <v>1</v>
      </c>
      <c r="S261">
        <f t="shared" si="27"/>
        <v>0</v>
      </c>
      <c r="T261">
        <f t="shared" si="28"/>
        <v>0</v>
      </c>
      <c r="U261">
        <f t="shared" si="29"/>
        <v>1</v>
      </c>
    </row>
    <row r="262" spans="1:21" ht="40.5" customHeight="1">
      <c r="A262" s="2" t="s">
        <v>87</v>
      </c>
      <c r="B262" s="3">
        <v>45658</v>
      </c>
      <c r="C262" s="2" t="s">
        <v>27</v>
      </c>
      <c r="D262" s="2" t="s">
        <v>18</v>
      </c>
      <c r="E262" s="2">
        <v>14519.37</v>
      </c>
      <c r="F262" s="2">
        <v>3047</v>
      </c>
      <c r="G262" s="2">
        <v>0.13500000000000001</v>
      </c>
      <c r="H262" s="2">
        <v>90.3</v>
      </c>
      <c r="I262">
        <f t="shared" si="24"/>
        <v>0</v>
      </c>
      <c r="J262" s="2">
        <v>10</v>
      </c>
      <c r="K262" s="2">
        <v>90.3</v>
      </c>
      <c r="L262" s="2">
        <v>6.62</v>
      </c>
      <c r="M262" s="2">
        <v>0</v>
      </c>
      <c r="N262" s="2">
        <v>4.2</v>
      </c>
      <c r="O262" s="2">
        <v>528852.62</v>
      </c>
      <c r="P262" s="2">
        <v>68426.210000000006</v>
      </c>
      <c r="Q262">
        <f t="shared" si="25"/>
        <v>0</v>
      </c>
      <c r="R262">
        <f t="shared" si="26"/>
        <v>0</v>
      </c>
      <c r="S262">
        <f t="shared" si="27"/>
        <v>0</v>
      </c>
      <c r="T262">
        <f t="shared" si="28"/>
        <v>1</v>
      </c>
      <c r="U262">
        <f t="shared" si="29"/>
        <v>0</v>
      </c>
    </row>
    <row r="263" spans="1:21" ht="40.5" customHeight="1">
      <c r="A263" s="2" t="s">
        <v>87</v>
      </c>
      <c r="B263" s="3">
        <v>45689</v>
      </c>
      <c r="C263" s="2" t="s">
        <v>27</v>
      </c>
      <c r="D263" s="2" t="s">
        <v>18</v>
      </c>
      <c r="E263" s="2">
        <v>43288.2</v>
      </c>
      <c r="F263" s="2">
        <v>4783</v>
      </c>
      <c r="G263" s="2">
        <v>0.16900000000000001</v>
      </c>
      <c r="H263" s="2">
        <v>87.3</v>
      </c>
      <c r="I263">
        <f t="shared" si="24"/>
        <v>0</v>
      </c>
      <c r="J263" s="2">
        <v>13</v>
      </c>
      <c r="K263" s="2">
        <v>87.3</v>
      </c>
      <c r="L263" s="2"/>
      <c r="M263" s="2">
        <v>0</v>
      </c>
      <c r="N263" s="2">
        <v>4.2</v>
      </c>
      <c r="O263" s="2">
        <v>605751.32999999996</v>
      </c>
      <c r="P263" s="2">
        <v>60685.53</v>
      </c>
      <c r="Q263">
        <f t="shared" si="25"/>
        <v>0</v>
      </c>
      <c r="R263">
        <f t="shared" si="26"/>
        <v>0</v>
      </c>
      <c r="S263">
        <f t="shared" si="27"/>
        <v>0</v>
      </c>
      <c r="T263">
        <f t="shared" si="28"/>
        <v>1</v>
      </c>
      <c r="U263">
        <f t="shared" si="29"/>
        <v>0</v>
      </c>
    </row>
    <row r="264" spans="1:21" ht="40.5" customHeight="1">
      <c r="A264" s="2" t="s">
        <v>87</v>
      </c>
      <c r="B264" s="3">
        <v>45717</v>
      </c>
      <c r="C264" s="2" t="s">
        <v>27</v>
      </c>
      <c r="D264" s="2" t="s">
        <v>18</v>
      </c>
      <c r="E264" s="2">
        <v>51450.55</v>
      </c>
      <c r="F264" s="2">
        <v>4902</v>
      </c>
      <c r="G264" s="2">
        <v>8.5999999999999993E-2</v>
      </c>
      <c r="H264" s="2">
        <v>83.7</v>
      </c>
      <c r="I264">
        <f t="shared" si="24"/>
        <v>0</v>
      </c>
      <c r="J264" s="2">
        <v>11</v>
      </c>
      <c r="K264" s="2">
        <v>83.7</v>
      </c>
      <c r="L264" s="2">
        <v>6.92</v>
      </c>
      <c r="M264" s="2">
        <v>1</v>
      </c>
      <c r="N264" s="2">
        <v>4.2</v>
      </c>
      <c r="O264" s="2">
        <v>677640.65</v>
      </c>
      <c r="P264" s="2">
        <v>111610.89</v>
      </c>
      <c r="Q264">
        <f t="shared" si="25"/>
        <v>0</v>
      </c>
      <c r="R264">
        <f t="shared" si="26"/>
        <v>0</v>
      </c>
      <c r="S264">
        <f t="shared" si="27"/>
        <v>0</v>
      </c>
      <c r="T264">
        <f t="shared" si="28"/>
        <v>1</v>
      </c>
      <c r="U264">
        <f t="shared" si="29"/>
        <v>0</v>
      </c>
    </row>
    <row r="265" spans="1:21" ht="40.5" customHeight="1">
      <c r="A265" s="2" t="s">
        <v>87</v>
      </c>
      <c r="B265" s="3">
        <v>45748</v>
      </c>
      <c r="C265" s="2" t="s">
        <v>27</v>
      </c>
      <c r="D265" s="2" t="s">
        <v>18</v>
      </c>
      <c r="E265" s="2">
        <v>58688.26</v>
      </c>
      <c r="F265" s="2">
        <v>4022</v>
      </c>
      <c r="G265" s="2">
        <v>0.217</v>
      </c>
      <c r="H265" s="2">
        <v>93.8</v>
      </c>
      <c r="I265">
        <f t="shared" si="24"/>
        <v>0</v>
      </c>
      <c r="J265" s="2">
        <v>12</v>
      </c>
      <c r="K265" s="2">
        <v>93.8</v>
      </c>
      <c r="L265" s="2">
        <v>11.78</v>
      </c>
      <c r="M265" s="2">
        <v>0</v>
      </c>
      <c r="N265" s="2">
        <v>3.7</v>
      </c>
      <c r="O265" s="2">
        <v>636613.23</v>
      </c>
      <c r="P265" s="2">
        <v>78908.350000000006</v>
      </c>
      <c r="Q265">
        <f t="shared" si="25"/>
        <v>0</v>
      </c>
      <c r="R265">
        <f t="shared" si="26"/>
        <v>0</v>
      </c>
      <c r="S265">
        <f t="shared" si="27"/>
        <v>0</v>
      </c>
      <c r="T265">
        <f t="shared" si="28"/>
        <v>1</v>
      </c>
      <c r="U265">
        <f t="shared" si="29"/>
        <v>0</v>
      </c>
    </row>
    <row r="266" spans="1:21" ht="40.5" customHeight="1">
      <c r="A266" s="2" t="s">
        <v>88</v>
      </c>
      <c r="B266" s="3">
        <v>45658</v>
      </c>
      <c r="C266" s="2" t="s">
        <v>15</v>
      </c>
      <c r="D266" s="2" t="s">
        <v>18</v>
      </c>
      <c r="E266" s="2">
        <v>58981.91</v>
      </c>
      <c r="F266" s="2">
        <v>7324</v>
      </c>
      <c r="G266" s="2">
        <v>9.4E-2</v>
      </c>
      <c r="H266" s="2">
        <v>95.8</v>
      </c>
      <c r="I266">
        <f t="shared" si="24"/>
        <v>0</v>
      </c>
      <c r="J266" s="2">
        <v>15</v>
      </c>
      <c r="K266" s="2">
        <v>95.8</v>
      </c>
      <c r="L266" s="2">
        <v>0.5</v>
      </c>
      <c r="M266" s="2">
        <v>0</v>
      </c>
      <c r="N266" s="2">
        <v>3.5</v>
      </c>
      <c r="O266" s="2">
        <v>708985.19</v>
      </c>
      <c r="P266" s="2">
        <v>125368.16</v>
      </c>
      <c r="Q266">
        <f t="shared" si="25"/>
        <v>1</v>
      </c>
      <c r="R266">
        <f t="shared" si="26"/>
        <v>0</v>
      </c>
      <c r="S266">
        <f t="shared" si="27"/>
        <v>0</v>
      </c>
      <c r="T266">
        <f t="shared" si="28"/>
        <v>1</v>
      </c>
      <c r="U266">
        <f t="shared" si="29"/>
        <v>0</v>
      </c>
    </row>
    <row r="267" spans="1:21" ht="40.5" customHeight="1">
      <c r="A267" s="2" t="s">
        <v>88</v>
      </c>
      <c r="B267" s="3">
        <v>45689</v>
      </c>
      <c r="C267" s="2" t="s">
        <v>15</v>
      </c>
      <c r="D267" s="2" t="s">
        <v>18</v>
      </c>
      <c r="E267" s="2">
        <v>73454.539999999994</v>
      </c>
      <c r="F267" s="2">
        <v>8129</v>
      </c>
      <c r="G267" s="2">
        <v>0.21099999999999999</v>
      </c>
      <c r="H267" s="2">
        <v>85.2</v>
      </c>
      <c r="I267">
        <f t="shared" si="24"/>
        <v>0</v>
      </c>
      <c r="J267" s="2">
        <v>20</v>
      </c>
      <c r="K267" s="2">
        <v>85.2</v>
      </c>
      <c r="L267" s="2">
        <v>0.88</v>
      </c>
      <c r="M267" s="2">
        <v>0</v>
      </c>
      <c r="N267" s="2">
        <v>3.7</v>
      </c>
      <c r="O267" s="2">
        <v>767792.94</v>
      </c>
      <c r="P267" s="2">
        <v>96235.77</v>
      </c>
      <c r="Q267">
        <f t="shared" si="25"/>
        <v>1</v>
      </c>
      <c r="R267">
        <f t="shared" si="26"/>
        <v>0</v>
      </c>
      <c r="S267">
        <f t="shared" si="27"/>
        <v>0</v>
      </c>
      <c r="T267">
        <f t="shared" si="28"/>
        <v>1</v>
      </c>
      <c r="U267">
        <f t="shared" si="29"/>
        <v>0</v>
      </c>
    </row>
    <row r="268" spans="1:21" ht="40.5" customHeight="1">
      <c r="A268" s="2" t="s">
        <v>88</v>
      </c>
      <c r="B268" s="3">
        <v>45717</v>
      </c>
      <c r="C268" s="2" t="s">
        <v>15</v>
      </c>
      <c r="D268" s="2" t="s">
        <v>18</v>
      </c>
      <c r="E268" s="2">
        <v>56602.39</v>
      </c>
      <c r="F268" s="2">
        <v>7969</v>
      </c>
      <c r="G268" s="2">
        <v>0.17</v>
      </c>
      <c r="H268" s="2">
        <v>88.3</v>
      </c>
      <c r="I268">
        <f t="shared" si="24"/>
        <v>0</v>
      </c>
      <c r="J268" s="2">
        <v>21</v>
      </c>
      <c r="K268" s="2">
        <v>88.3</v>
      </c>
      <c r="L268" s="2">
        <v>2.25</v>
      </c>
      <c r="M268" s="2">
        <v>0</v>
      </c>
      <c r="N268" s="2">
        <v>3.7</v>
      </c>
      <c r="O268" s="2">
        <v>745580.51</v>
      </c>
      <c r="P268" s="2">
        <v>116273.68</v>
      </c>
      <c r="Q268">
        <f t="shared" si="25"/>
        <v>1</v>
      </c>
      <c r="R268">
        <f t="shared" si="26"/>
        <v>0</v>
      </c>
      <c r="S268">
        <f t="shared" si="27"/>
        <v>0</v>
      </c>
      <c r="T268">
        <f t="shared" si="28"/>
        <v>1</v>
      </c>
      <c r="U268">
        <f t="shared" si="29"/>
        <v>0</v>
      </c>
    </row>
    <row r="269" spans="1:21" ht="40.5" customHeight="1">
      <c r="A269" s="2" t="s">
        <v>88</v>
      </c>
      <c r="B269" s="3">
        <v>45748</v>
      </c>
      <c r="C269" s="2" t="s">
        <v>15</v>
      </c>
      <c r="D269" s="2" t="s">
        <v>18</v>
      </c>
      <c r="E269" s="2">
        <v>67722.289999999994</v>
      </c>
      <c r="F269" s="2">
        <v>7240</v>
      </c>
      <c r="G269" s="2">
        <v>2.5999999999999999E-2</v>
      </c>
      <c r="H269" s="2">
        <v>92.9</v>
      </c>
      <c r="I269">
        <f t="shared" si="24"/>
        <v>0</v>
      </c>
      <c r="J269" s="2">
        <v>15</v>
      </c>
      <c r="K269" s="2">
        <v>92.9</v>
      </c>
      <c r="L269" s="2">
        <v>0.28999999999999998</v>
      </c>
      <c r="M269" s="2">
        <v>0</v>
      </c>
      <c r="N269" s="2">
        <v>3.5</v>
      </c>
      <c r="O269" s="2">
        <v>762328.31</v>
      </c>
      <c r="P269" s="2">
        <v>159158.19</v>
      </c>
      <c r="Q269">
        <f t="shared" si="25"/>
        <v>1</v>
      </c>
      <c r="R269">
        <f t="shared" si="26"/>
        <v>0</v>
      </c>
      <c r="S269">
        <f t="shared" si="27"/>
        <v>0</v>
      </c>
      <c r="T269">
        <f t="shared" si="28"/>
        <v>1</v>
      </c>
      <c r="U269">
        <f t="shared" si="29"/>
        <v>0</v>
      </c>
    </row>
    <row r="270" spans="1:21" ht="40.5" customHeight="1">
      <c r="A270" s="2" t="s">
        <v>89</v>
      </c>
      <c r="B270" s="3">
        <v>45658</v>
      </c>
      <c r="C270" s="2" t="s">
        <v>15</v>
      </c>
      <c r="D270" s="2" t="s">
        <v>28</v>
      </c>
      <c r="E270" s="2">
        <v>48752.92</v>
      </c>
      <c r="F270" s="2">
        <v>8052</v>
      </c>
      <c r="G270" s="2">
        <v>0.106</v>
      </c>
      <c r="H270" s="2">
        <v>94.9</v>
      </c>
      <c r="I270">
        <f t="shared" si="24"/>
        <v>0</v>
      </c>
      <c r="J270" s="2">
        <v>16</v>
      </c>
      <c r="K270" s="2">
        <v>94.9</v>
      </c>
      <c r="L270" s="2">
        <v>0.65</v>
      </c>
      <c r="M270" s="2">
        <v>0</v>
      </c>
      <c r="N270" s="2">
        <v>3.6</v>
      </c>
      <c r="O270" s="2">
        <v>660633.99</v>
      </c>
      <c r="P270" s="2">
        <v>118768.66</v>
      </c>
      <c r="Q270">
        <f t="shared" si="25"/>
        <v>1</v>
      </c>
      <c r="R270">
        <f t="shared" si="26"/>
        <v>0</v>
      </c>
      <c r="S270">
        <f t="shared" si="27"/>
        <v>0</v>
      </c>
      <c r="T270">
        <f t="shared" si="28"/>
        <v>0</v>
      </c>
      <c r="U270">
        <f t="shared" si="29"/>
        <v>1</v>
      </c>
    </row>
    <row r="271" spans="1:21" ht="40.5" customHeight="1">
      <c r="A271" s="2" t="s">
        <v>89</v>
      </c>
      <c r="B271" s="3">
        <v>45689</v>
      </c>
      <c r="C271" s="2" t="s">
        <v>15</v>
      </c>
      <c r="D271" s="2" t="s">
        <v>28</v>
      </c>
      <c r="E271" s="2">
        <v>23914.97</v>
      </c>
      <c r="F271" s="2">
        <v>8018</v>
      </c>
      <c r="G271" s="2">
        <v>0.13900000000000001</v>
      </c>
      <c r="H271" s="2">
        <v>89</v>
      </c>
      <c r="I271">
        <f t="shared" si="24"/>
        <v>0</v>
      </c>
      <c r="J271" s="2">
        <v>20</v>
      </c>
      <c r="K271" s="2">
        <v>89</v>
      </c>
      <c r="L271" s="2">
        <v>0.2</v>
      </c>
      <c r="M271" s="2">
        <v>0</v>
      </c>
      <c r="N271" s="2">
        <v>3.5</v>
      </c>
      <c r="O271" s="2">
        <v>739374.56</v>
      </c>
      <c r="P271" s="2">
        <v>121032.29</v>
      </c>
      <c r="Q271">
        <f t="shared" si="25"/>
        <v>1</v>
      </c>
      <c r="R271">
        <f t="shared" si="26"/>
        <v>0</v>
      </c>
      <c r="S271">
        <f t="shared" si="27"/>
        <v>0</v>
      </c>
      <c r="T271">
        <f t="shared" si="28"/>
        <v>0</v>
      </c>
      <c r="U271">
        <f t="shared" si="29"/>
        <v>1</v>
      </c>
    </row>
    <row r="272" spans="1:21" ht="40.5" customHeight="1">
      <c r="A272" s="2" t="s">
        <v>89</v>
      </c>
      <c r="B272" s="3">
        <v>45717</v>
      </c>
      <c r="C272" s="2" t="s">
        <v>15</v>
      </c>
      <c r="D272" s="2" t="s">
        <v>28</v>
      </c>
      <c r="E272" s="2">
        <v>61995.3</v>
      </c>
      <c r="F272" s="2">
        <v>10192</v>
      </c>
      <c r="G272" s="2">
        <v>0.19800000000000001</v>
      </c>
      <c r="H272" s="2">
        <v>87.6</v>
      </c>
      <c r="I272">
        <f t="shared" si="24"/>
        <v>0</v>
      </c>
      <c r="J272" s="2">
        <v>21</v>
      </c>
      <c r="K272" s="2">
        <v>87.6</v>
      </c>
      <c r="L272" s="2">
        <v>3.63</v>
      </c>
      <c r="M272" s="2">
        <v>1</v>
      </c>
      <c r="N272" s="2">
        <v>3.8</v>
      </c>
      <c r="O272" s="2">
        <v>799756.46</v>
      </c>
      <c r="P272" s="2">
        <v>105052.93</v>
      </c>
      <c r="Q272">
        <f t="shared" si="25"/>
        <v>1</v>
      </c>
      <c r="R272">
        <f t="shared" si="26"/>
        <v>0</v>
      </c>
      <c r="S272">
        <f t="shared" si="27"/>
        <v>0</v>
      </c>
      <c r="T272">
        <f t="shared" si="28"/>
        <v>0</v>
      </c>
      <c r="U272">
        <f t="shared" si="29"/>
        <v>1</v>
      </c>
    </row>
    <row r="273" spans="1:21" ht="40.5" customHeight="1">
      <c r="A273" s="2" t="s">
        <v>89</v>
      </c>
      <c r="B273" s="3">
        <v>45748</v>
      </c>
      <c r="C273" s="2" t="s">
        <v>15</v>
      </c>
      <c r="D273" s="2" t="s">
        <v>28</v>
      </c>
      <c r="E273" s="2">
        <v>29344.93</v>
      </c>
      <c r="F273" s="2">
        <v>7446</v>
      </c>
      <c r="G273" s="2">
        <v>0.111</v>
      </c>
      <c r="H273" s="2">
        <v>86.2</v>
      </c>
      <c r="I273">
        <f t="shared" si="24"/>
        <v>0</v>
      </c>
      <c r="J273" s="2">
        <v>15</v>
      </c>
      <c r="K273" s="2">
        <v>86.2</v>
      </c>
      <c r="L273" s="2">
        <v>0.2</v>
      </c>
      <c r="M273" s="2">
        <v>0</v>
      </c>
      <c r="N273" s="2">
        <v>3.2</v>
      </c>
      <c r="O273" s="2">
        <v>593343</v>
      </c>
      <c r="P273" s="2">
        <v>82832.240000000005</v>
      </c>
      <c r="Q273">
        <f t="shared" si="25"/>
        <v>1</v>
      </c>
      <c r="R273">
        <f t="shared" si="26"/>
        <v>0</v>
      </c>
      <c r="S273">
        <f t="shared" si="27"/>
        <v>0</v>
      </c>
      <c r="T273">
        <f t="shared" si="28"/>
        <v>0</v>
      </c>
      <c r="U273">
        <f t="shared" si="29"/>
        <v>1</v>
      </c>
    </row>
    <row r="274" spans="1:21" ht="40.5" customHeight="1">
      <c r="A274" s="2" t="s">
        <v>90</v>
      </c>
      <c r="B274" s="3">
        <v>45658</v>
      </c>
      <c r="C274" s="2" t="s">
        <v>27</v>
      </c>
      <c r="D274" s="2" t="s">
        <v>18</v>
      </c>
      <c r="E274" s="2">
        <v>50532.17</v>
      </c>
      <c r="F274" s="2">
        <v>5689</v>
      </c>
      <c r="G274" s="2">
        <v>5.1999999999999998E-2</v>
      </c>
      <c r="H274" s="2">
        <v>85.6</v>
      </c>
      <c r="I274">
        <f t="shared" si="24"/>
        <v>0</v>
      </c>
      <c r="J274" s="2">
        <v>17</v>
      </c>
      <c r="K274" s="2">
        <v>85.6</v>
      </c>
      <c r="L274" s="2">
        <v>6.23</v>
      </c>
      <c r="M274" s="2">
        <v>0</v>
      </c>
      <c r="N274" s="2">
        <v>3.3</v>
      </c>
      <c r="O274" s="2">
        <v>645039.97</v>
      </c>
      <c r="P274" s="2">
        <v>83093.33</v>
      </c>
      <c r="Q274">
        <f t="shared" si="25"/>
        <v>0</v>
      </c>
      <c r="R274">
        <f t="shared" si="26"/>
        <v>0</v>
      </c>
      <c r="S274">
        <f t="shared" si="27"/>
        <v>0</v>
      </c>
      <c r="T274">
        <f t="shared" si="28"/>
        <v>1</v>
      </c>
      <c r="U274">
        <f t="shared" si="29"/>
        <v>0</v>
      </c>
    </row>
    <row r="275" spans="1:21" ht="40.5" customHeight="1">
      <c r="A275" s="2" t="s">
        <v>90</v>
      </c>
      <c r="B275" s="3">
        <v>45689</v>
      </c>
      <c r="C275" s="2" t="s">
        <v>27</v>
      </c>
      <c r="D275" s="2" t="s">
        <v>18</v>
      </c>
      <c r="E275" s="2">
        <v>17562.57</v>
      </c>
      <c r="F275" s="2">
        <v>3326</v>
      </c>
      <c r="G275" s="2">
        <v>0.153</v>
      </c>
      <c r="H275" s="2">
        <v>88.1</v>
      </c>
      <c r="I275">
        <f t="shared" si="24"/>
        <v>0</v>
      </c>
      <c r="J275" s="2">
        <v>14</v>
      </c>
      <c r="K275" s="2">
        <v>88.1</v>
      </c>
      <c r="L275" s="2">
        <v>1.04</v>
      </c>
      <c r="M275" s="2">
        <v>0</v>
      </c>
      <c r="N275" s="2">
        <v>3.1</v>
      </c>
      <c r="O275" s="2">
        <v>561597.32999999996</v>
      </c>
      <c r="P275" s="2">
        <v>75072.75</v>
      </c>
      <c r="Q275">
        <f t="shared" si="25"/>
        <v>0</v>
      </c>
      <c r="R275">
        <f t="shared" si="26"/>
        <v>0</v>
      </c>
      <c r="S275">
        <f t="shared" si="27"/>
        <v>0</v>
      </c>
      <c r="T275">
        <f t="shared" si="28"/>
        <v>1</v>
      </c>
      <c r="U275">
        <f t="shared" si="29"/>
        <v>0</v>
      </c>
    </row>
    <row r="276" spans="1:21" ht="40.5" customHeight="1">
      <c r="A276" s="2" t="s">
        <v>90</v>
      </c>
      <c r="B276" s="3">
        <v>45717</v>
      </c>
      <c r="C276" s="2" t="s">
        <v>27</v>
      </c>
      <c r="D276" s="2" t="s">
        <v>18</v>
      </c>
      <c r="E276" s="2">
        <v>47648.71</v>
      </c>
      <c r="F276" s="2">
        <v>5767</v>
      </c>
      <c r="G276" s="2">
        <v>0.14099999999999999</v>
      </c>
      <c r="H276" s="2">
        <v>89.8</v>
      </c>
      <c r="I276">
        <f t="shared" si="24"/>
        <v>0</v>
      </c>
      <c r="J276" s="2">
        <v>17</v>
      </c>
      <c r="K276" s="2">
        <v>89.8</v>
      </c>
      <c r="L276" s="2">
        <v>1.76</v>
      </c>
      <c r="M276" s="2">
        <v>0</v>
      </c>
      <c r="N276" s="2">
        <v>3.1</v>
      </c>
      <c r="O276" s="2">
        <v>635837.74</v>
      </c>
      <c r="P276" s="2">
        <v>114740.64</v>
      </c>
      <c r="Q276">
        <f t="shared" si="25"/>
        <v>0</v>
      </c>
      <c r="R276">
        <f t="shared" si="26"/>
        <v>0</v>
      </c>
      <c r="S276">
        <f t="shared" si="27"/>
        <v>0</v>
      </c>
      <c r="T276">
        <f t="shared" si="28"/>
        <v>1</v>
      </c>
      <c r="U276">
        <f t="shared" si="29"/>
        <v>0</v>
      </c>
    </row>
    <row r="277" spans="1:21" ht="40.5" customHeight="1">
      <c r="A277" s="2" t="s">
        <v>90</v>
      </c>
      <c r="B277" s="3">
        <v>45748</v>
      </c>
      <c r="C277" s="2" t="s">
        <v>27</v>
      </c>
      <c r="D277" s="2" t="s">
        <v>18</v>
      </c>
      <c r="E277" s="2">
        <v>38297.58</v>
      </c>
      <c r="F277" s="2">
        <v>5893</v>
      </c>
      <c r="G277" s="2">
        <v>0.247</v>
      </c>
      <c r="H277" s="2">
        <v>77.599999999999994</v>
      </c>
      <c r="I277">
        <f t="shared" si="24"/>
        <v>0</v>
      </c>
      <c r="J277" s="2">
        <v>18</v>
      </c>
      <c r="K277" s="2">
        <v>77.599999999999994</v>
      </c>
      <c r="L277" s="2">
        <v>2.86</v>
      </c>
      <c r="M277" s="2">
        <v>0</v>
      </c>
      <c r="N277" s="2">
        <v>3</v>
      </c>
      <c r="O277" s="2">
        <v>686737.87</v>
      </c>
      <c r="P277" s="2">
        <v>83839.67</v>
      </c>
      <c r="Q277">
        <f t="shared" si="25"/>
        <v>0</v>
      </c>
      <c r="R277">
        <f t="shared" si="26"/>
        <v>0</v>
      </c>
      <c r="S277">
        <f t="shared" si="27"/>
        <v>0</v>
      </c>
      <c r="T277">
        <f t="shared" si="28"/>
        <v>1</v>
      </c>
      <c r="U277">
        <f t="shared" si="29"/>
        <v>0</v>
      </c>
    </row>
    <row r="278" spans="1:21" ht="40.5" customHeight="1">
      <c r="A278" s="2" t="s">
        <v>91</v>
      </c>
      <c r="B278" s="3">
        <v>45658</v>
      </c>
      <c r="C278" s="2" t="s">
        <v>24</v>
      </c>
      <c r="D278" s="2" t="s">
        <v>16</v>
      </c>
      <c r="E278" s="2">
        <v>61784.11</v>
      </c>
      <c r="F278" s="2">
        <v>8564</v>
      </c>
      <c r="G278" s="2">
        <v>0.13</v>
      </c>
      <c r="H278" s="2">
        <v>87.4</v>
      </c>
      <c r="I278">
        <f t="shared" si="24"/>
        <v>0</v>
      </c>
      <c r="J278" s="2">
        <v>17</v>
      </c>
      <c r="K278" s="2">
        <v>87.4</v>
      </c>
      <c r="L278" s="2">
        <v>18.14</v>
      </c>
      <c r="M278" s="2">
        <v>1</v>
      </c>
      <c r="N278" s="2">
        <v>3.4</v>
      </c>
      <c r="O278" s="2">
        <v>673076.34</v>
      </c>
      <c r="P278" s="2">
        <v>93899.76</v>
      </c>
      <c r="Q278">
        <f t="shared" si="25"/>
        <v>0</v>
      </c>
      <c r="R278">
        <f t="shared" si="26"/>
        <v>1</v>
      </c>
      <c r="S278">
        <f t="shared" si="27"/>
        <v>0</v>
      </c>
      <c r="T278">
        <f t="shared" si="28"/>
        <v>0</v>
      </c>
      <c r="U278">
        <f t="shared" si="29"/>
        <v>0</v>
      </c>
    </row>
    <row r="279" spans="1:21" ht="40.5" customHeight="1">
      <c r="A279" s="2" t="s">
        <v>91</v>
      </c>
      <c r="B279" s="3">
        <v>45689</v>
      </c>
      <c r="C279" s="2" t="s">
        <v>24</v>
      </c>
      <c r="D279" s="2" t="s">
        <v>16</v>
      </c>
      <c r="E279" s="2">
        <v>36832.33</v>
      </c>
      <c r="F279" s="2">
        <v>8001</v>
      </c>
      <c r="G279" s="2">
        <v>0</v>
      </c>
      <c r="H279" s="2">
        <v>88.7</v>
      </c>
      <c r="I279">
        <f t="shared" si="24"/>
        <v>0</v>
      </c>
      <c r="J279" s="2">
        <v>19</v>
      </c>
      <c r="K279" s="2">
        <v>88.7</v>
      </c>
      <c r="L279" s="2">
        <v>3.39</v>
      </c>
      <c r="M279" s="2">
        <v>0</v>
      </c>
      <c r="N279" s="2">
        <v>4</v>
      </c>
      <c r="O279" s="2">
        <v>738548.42</v>
      </c>
      <c r="P279" s="2">
        <v>134282.76999999999</v>
      </c>
      <c r="Q279">
        <f t="shared" si="25"/>
        <v>0</v>
      </c>
      <c r="R279">
        <f t="shared" si="26"/>
        <v>1</v>
      </c>
      <c r="S279">
        <f t="shared" si="27"/>
        <v>0</v>
      </c>
      <c r="T279">
        <f t="shared" si="28"/>
        <v>0</v>
      </c>
      <c r="U279">
        <f t="shared" si="29"/>
        <v>0</v>
      </c>
    </row>
    <row r="280" spans="1:21" ht="40.5" customHeight="1">
      <c r="A280" s="2" t="s">
        <v>91</v>
      </c>
      <c r="B280" s="3">
        <v>45717</v>
      </c>
      <c r="C280" s="2" t="s">
        <v>24</v>
      </c>
      <c r="D280" s="2" t="s">
        <v>16</v>
      </c>
      <c r="E280" s="2">
        <v>48609.41</v>
      </c>
      <c r="F280" s="2">
        <v>9324</v>
      </c>
      <c r="G280" s="2">
        <v>0.21299999999999999</v>
      </c>
      <c r="H280" s="2">
        <v>86.5</v>
      </c>
      <c r="I280">
        <f t="shared" si="24"/>
        <v>0</v>
      </c>
      <c r="J280" s="2">
        <v>18</v>
      </c>
      <c r="K280" s="2">
        <v>86.5</v>
      </c>
      <c r="L280" s="2">
        <v>1.44</v>
      </c>
      <c r="M280" s="2">
        <v>0</v>
      </c>
      <c r="N280" s="2">
        <v>3.9</v>
      </c>
      <c r="O280" s="2">
        <v>756619.77</v>
      </c>
      <c r="P280" s="2">
        <v>112057.69</v>
      </c>
      <c r="Q280">
        <f t="shared" si="25"/>
        <v>0</v>
      </c>
      <c r="R280">
        <f t="shared" si="26"/>
        <v>1</v>
      </c>
      <c r="S280">
        <f t="shared" si="27"/>
        <v>0</v>
      </c>
      <c r="T280">
        <f t="shared" si="28"/>
        <v>0</v>
      </c>
      <c r="U280">
        <f t="shared" si="29"/>
        <v>0</v>
      </c>
    </row>
    <row r="281" spans="1:21" ht="40.5" customHeight="1">
      <c r="A281" s="2" t="s">
        <v>91</v>
      </c>
      <c r="B281" s="3">
        <v>45748</v>
      </c>
      <c r="C281" s="2" t="s">
        <v>24</v>
      </c>
      <c r="D281" s="2" t="s">
        <v>16</v>
      </c>
      <c r="E281" s="2">
        <v>70284.06</v>
      </c>
      <c r="F281" s="2">
        <v>9109</v>
      </c>
      <c r="G281" s="2">
        <v>4.0000000000000001E-3</v>
      </c>
      <c r="H281" s="2">
        <v>87</v>
      </c>
      <c r="I281">
        <f t="shared" si="24"/>
        <v>0</v>
      </c>
      <c r="J281" s="2">
        <v>23</v>
      </c>
      <c r="K281" s="2">
        <v>87</v>
      </c>
      <c r="L281" s="2">
        <v>3.65</v>
      </c>
      <c r="M281" s="2">
        <v>0</v>
      </c>
      <c r="N281" s="2">
        <v>3.7</v>
      </c>
      <c r="O281" s="2">
        <v>761122.42</v>
      </c>
      <c r="P281" s="2">
        <v>149802.04</v>
      </c>
      <c r="Q281">
        <f t="shared" si="25"/>
        <v>0</v>
      </c>
      <c r="R281">
        <f t="shared" si="26"/>
        <v>1</v>
      </c>
      <c r="S281">
        <f t="shared" si="27"/>
        <v>0</v>
      </c>
      <c r="T281">
        <f t="shared" si="28"/>
        <v>0</v>
      </c>
      <c r="U281">
        <f t="shared" si="29"/>
        <v>0</v>
      </c>
    </row>
    <row r="282" spans="1:21" ht="40.5" customHeight="1">
      <c r="A282" s="2" t="s">
        <v>92</v>
      </c>
      <c r="B282" s="3">
        <v>45658</v>
      </c>
      <c r="C282" s="2" t="s">
        <v>24</v>
      </c>
      <c r="D282" s="2" t="s">
        <v>18</v>
      </c>
      <c r="E282" s="2">
        <v>45940.39</v>
      </c>
      <c r="F282" s="2">
        <v>4022</v>
      </c>
      <c r="G282" s="2">
        <v>6.9000000000000006E-2</v>
      </c>
      <c r="H282" s="2">
        <v>83</v>
      </c>
      <c r="I282">
        <f t="shared" si="24"/>
        <v>0</v>
      </c>
      <c r="J282" s="2">
        <v>10</v>
      </c>
      <c r="K282" s="2">
        <v>83</v>
      </c>
      <c r="L282" s="2">
        <v>1.23</v>
      </c>
      <c r="M282" s="2">
        <v>1</v>
      </c>
      <c r="N282" s="2">
        <v>3.8</v>
      </c>
      <c r="O282" s="2">
        <v>524899.56999999995</v>
      </c>
      <c r="P282" s="2">
        <v>63619.98</v>
      </c>
      <c r="Q282">
        <f t="shared" si="25"/>
        <v>0</v>
      </c>
      <c r="R282">
        <f t="shared" si="26"/>
        <v>1</v>
      </c>
      <c r="S282">
        <f t="shared" si="27"/>
        <v>0</v>
      </c>
      <c r="T282">
        <f t="shared" si="28"/>
        <v>1</v>
      </c>
      <c r="U282">
        <f t="shared" si="29"/>
        <v>0</v>
      </c>
    </row>
    <row r="283" spans="1:21" ht="40.5" customHeight="1">
      <c r="A283" s="2" t="s">
        <v>92</v>
      </c>
      <c r="B283" s="3">
        <v>45689</v>
      </c>
      <c r="C283" s="2" t="s">
        <v>24</v>
      </c>
      <c r="D283" s="2" t="s">
        <v>18</v>
      </c>
      <c r="E283" s="2">
        <v>34771.26</v>
      </c>
      <c r="F283" s="2">
        <v>4355</v>
      </c>
      <c r="G283" s="2">
        <v>5.0999999999999997E-2</v>
      </c>
      <c r="H283" s="2">
        <v>87.9</v>
      </c>
      <c r="I283">
        <f t="shared" si="24"/>
        <v>0</v>
      </c>
      <c r="J283" s="2">
        <v>15</v>
      </c>
      <c r="K283" s="2">
        <v>87.9</v>
      </c>
      <c r="L283" s="2">
        <v>3.09</v>
      </c>
      <c r="M283" s="2">
        <v>0</v>
      </c>
      <c r="N283" s="2">
        <v>4</v>
      </c>
      <c r="O283" s="2">
        <v>555557.77</v>
      </c>
      <c r="P283" s="2">
        <v>86475.51</v>
      </c>
      <c r="Q283">
        <f t="shared" si="25"/>
        <v>0</v>
      </c>
      <c r="R283">
        <f t="shared" si="26"/>
        <v>1</v>
      </c>
      <c r="S283">
        <f t="shared" si="27"/>
        <v>0</v>
      </c>
      <c r="T283">
        <f t="shared" si="28"/>
        <v>1</v>
      </c>
      <c r="U283">
        <f t="shared" si="29"/>
        <v>0</v>
      </c>
    </row>
    <row r="284" spans="1:21" ht="40.5" customHeight="1">
      <c r="A284" s="2" t="s">
        <v>92</v>
      </c>
      <c r="B284" s="3">
        <v>45717</v>
      </c>
      <c r="C284" s="2" t="s">
        <v>24</v>
      </c>
      <c r="D284" s="2" t="s">
        <v>18</v>
      </c>
      <c r="E284" s="2">
        <v>66104.19</v>
      </c>
      <c r="F284" s="2">
        <v>5745</v>
      </c>
      <c r="G284" s="2">
        <v>7.0000000000000007E-2</v>
      </c>
      <c r="H284" s="2">
        <v>95.8</v>
      </c>
      <c r="I284">
        <f t="shared" si="24"/>
        <v>0</v>
      </c>
      <c r="J284" s="2">
        <v>17</v>
      </c>
      <c r="K284" s="2">
        <v>95.8</v>
      </c>
      <c r="L284" s="2">
        <v>3.15</v>
      </c>
      <c r="M284" s="2">
        <v>0</v>
      </c>
      <c r="N284" s="2">
        <v>4</v>
      </c>
      <c r="O284" s="2">
        <v>714083.68</v>
      </c>
      <c r="P284" s="2">
        <v>127231.74</v>
      </c>
      <c r="Q284">
        <f t="shared" si="25"/>
        <v>0</v>
      </c>
      <c r="R284">
        <f t="shared" si="26"/>
        <v>1</v>
      </c>
      <c r="S284">
        <f t="shared" si="27"/>
        <v>0</v>
      </c>
      <c r="T284">
        <f t="shared" si="28"/>
        <v>1</v>
      </c>
      <c r="U284">
        <f t="shared" si="29"/>
        <v>0</v>
      </c>
    </row>
    <row r="285" spans="1:21" ht="40.5" customHeight="1">
      <c r="A285" s="2" t="s">
        <v>92</v>
      </c>
      <c r="B285" s="3">
        <v>45748</v>
      </c>
      <c r="C285" s="2" t="s">
        <v>24</v>
      </c>
      <c r="D285" s="2" t="s">
        <v>18</v>
      </c>
      <c r="E285" s="2">
        <v>18599.21</v>
      </c>
      <c r="F285" s="2">
        <v>3027</v>
      </c>
      <c r="G285" s="2">
        <v>0.122</v>
      </c>
      <c r="H285" s="2">
        <v>80.900000000000006</v>
      </c>
      <c r="I285">
        <f t="shared" si="24"/>
        <v>0</v>
      </c>
      <c r="J285" s="2">
        <v>11</v>
      </c>
      <c r="K285" s="2">
        <v>80.900000000000006</v>
      </c>
      <c r="L285" s="2">
        <v>6.44</v>
      </c>
      <c r="M285" s="2">
        <v>0</v>
      </c>
      <c r="N285" s="2">
        <v>4.2</v>
      </c>
      <c r="O285" s="2">
        <v>497439.82</v>
      </c>
      <c r="P285" s="2">
        <v>93372.75</v>
      </c>
      <c r="Q285">
        <f t="shared" si="25"/>
        <v>0</v>
      </c>
      <c r="R285">
        <f t="shared" si="26"/>
        <v>1</v>
      </c>
      <c r="S285">
        <f t="shared" si="27"/>
        <v>0</v>
      </c>
      <c r="T285">
        <f t="shared" si="28"/>
        <v>1</v>
      </c>
      <c r="U285">
        <f t="shared" si="29"/>
        <v>0</v>
      </c>
    </row>
    <row r="286" spans="1:21" ht="40.5" customHeight="1">
      <c r="A286" s="2" t="s">
        <v>93</v>
      </c>
      <c r="B286" s="3">
        <v>45658</v>
      </c>
      <c r="C286" s="2" t="s">
        <v>27</v>
      </c>
      <c r="D286" s="2" t="s">
        <v>16</v>
      </c>
      <c r="E286" s="2">
        <v>60183.06</v>
      </c>
      <c r="F286" s="2">
        <v>5562</v>
      </c>
      <c r="G286" s="2">
        <v>8.9999999999999993E-3</v>
      </c>
      <c r="H286" s="2">
        <v>86.3</v>
      </c>
      <c r="I286">
        <f t="shared" si="24"/>
        <v>0</v>
      </c>
      <c r="J286" s="2">
        <v>13</v>
      </c>
      <c r="K286" s="2">
        <v>86.3</v>
      </c>
      <c r="L286" s="2">
        <v>0.2</v>
      </c>
      <c r="M286" s="2">
        <v>1</v>
      </c>
      <c r="N286" s="2">
        <v>4.5</v>
      </c>
      <c r="O286" s="2">
        <v>636775.66</v>
      </c>
      <c r="P286" s="2">
        <v>122636.86</v>
      </c>
      <c r="Q286">
        <f t="shared" si="25"/>
        <v>0</v>
      </c>
      <c r="R286">
        <f t="shared" si="26"/>
        <v>0</v>
      </c>
      <c r="S286">
        <f t="shared" si="27"/>
        <v>0</v>
      </c>
      <c r="T286">
        <f t="shared" si="28"/>
        <v>0</v>
      </c>
      <c r="U286">
        <f t="shared" si="29"/>
        <v>0</v>
      </c>
    </row>
    <row r="287" spans="1:21" ht="40.5" customHeight="1">
      <c r="A287" s="2" t="s">
        <v>93</v>
      </c>
      <c r="B287" s="3">
        <v>45689</v>
      </c>
      <c r="C287" s="2" t="s">
        <v>27</v>
      </c>
      <c r="D287" s="2" t="s">
        <v>16</v>
      </c>
      <c r="E287" s="2">
        <v>74539.14</v>
      </c>
      <c r="F287" s="2">
        <v>4487</v>
      </c>
      <c r="G287" s="2">
        <v>0.14000000000000001</v>
      </c>
      <c r="H287" s="2">
        <v>90.4</v>
      </c>
      <c r="I287">
        <f t="shared" si="24"/>
        <v>0</v>
      </c>
      <c r="J287" s="2">
        <v>10</v>
      </c>
      <c r="K287" s="2">
        <v>90.4</v>
      </c>
      <c r="L287" s="2">
        <v>0.59</v>
      </c>
      <c r="M287" s="2">
        <v>0</v>
      </c>
      <c r="N287" s="2">
        <v>4.5</v>
      </c>
      <c r="O287" s="2">
        <v>633009.53</v>
      </c>
      <c r="P287" s="2">
        <v>123782.67</v>
      </c>
      <c r="Q287">
        <f t="shared" si="25"/>
        <v>0</v>
      </c>
      <c r="R287">
        <f t="shared" si="26"/>
        <v>0</v>
      </c>
      <c r="S287">
        <f t="shared" si="27"/>
        <v>0</v>
      </c>
      <c r="T287">
        <f t="shared" si="28"/>
        <v>0</v>
      </c>
      <c r="U287">
        <f t="shared" si="29"/>
        <v>0</v>
      </c>
    </row>
    <row r="288" spans="1:21" ht="40.5" customHeight="1">
      <c r="A288" s="2" t="s">
        <v>93</v>
      </c>
      <c r="B288" s="3">
        <v>45717</v>
      </c>
      <c r="C288" s="2" t="s">
        <v>27</v>
      </c>
      <c r="D288" s="2" t="s">
        <v>16</v>
      </c>
      <c r="E288" s="2">
        <v>55371.97</v>
      </c>
      <c r="F288" s="2">
        <v>4162</v>
      </c>
      <c r="G288" s="2">
        <v>0.183</v>
      </c>
      <c r="H288" s="2">
        <v>92</v>
      </c>
      <c r="I288">
        <f t="shared" si="24"/>
        <v>0</v>
      </c>
      <c r="J288" s="2">
        <v>11</v>
      </c>
      <c r="K288" s="2">
        <v>92</v>
      </c>
      <c r="L288" s="2">
        <v>0.2</v>
      </c>
      <c r="M288" s="2">
        <v>1</v>
      </c>
      <c r="N288" s="2">
        <v>4.2</v>
      </c>
      <c r="O288" s="2">
        <v>609949</v>
      </c>
      <c r="P288" s="2">
        <v>126789.25</v>
      </c>
      <c r="Q288">
        <f t="shared" si="25"/>
        <v>0</v>
      </c>
      <c r="R288">
        <f t="shared" si="26"/>
        <v>0</v>
      </c>
      <c r="S288">
        <f t="shared" si="27"/>
        <v>0</v>
      </c>
      <c r="T288">
        <f t="shared" si="28"/>
        <v>0</v>
      </c>
      <c r="U288">
        <f t="shared" si="29"/>
        <v>0</v>
      </c>
    </row>
    <row r="289" spans="1:21" ht="40.5" customHeight="1">
      <c r="A289" s="2" t="s">
        <v>93</v>
      </c>
      <c r="B289" s="3">
        <v>45748</v>
      </c>
      <c r="C289" s="2" t="s">
        <v>27</v>
      </c>
      <c r="D289" s="2" t="s">
        <v>16</v>
      </c>
      <c r="E289" s="2">
        <v>40928.69</v>
      </c>
      <c r="F289" s="2">
        <v>4094</v>
      </c>
      <c r="G289" s="2">
        <v>0.17399999999999999</v>
      </c>
      <c r="H289" s="2">
        <v>82.4</v>
      </c>
      <c r="I289">
        <f t="shared" si="24"/>
        <v>0</v>
      </c>
      <c r="J289" s="2">
        <v>13</v>
      </c>
      <c r="K289" s="2">
        <v>82.4</v>
      </c>
      <c r="L289" s="2">
        <v>1.36</v>
      </c>
      <c r="M289" s="2">
        <v>0</v>
      </c>
      <c r="N289" s="2">
        <v>4.8</v>
      </c>
      <c r="O289" s="2">
        <v>548103.69999999995</v>
      </c>
      <c r="P289" s="2">
        <v>99905.52</v>
      </c>
      <c r="Q289">
        <f t="shared" si="25"/>
        <v>0</v>
      </c>
      <c r="R289">
        <f t="shared" si="26"/>
        <v>0</v>
      </c>
      <c r="S289">
        <f t="shared" si="27"/>
        <v>0</v>
      </c>
      <c r="T289">
        <f t="shared" si="28"/>
        <v>0</v>
      </c>
      <c r="U289">
        <f t="shared" si="29"/>
        <v>0</v>
      </c>
    </row>
    <row r="290" spans="1:21" ht="40.5" customHeight="1">
      <c r="A290" s="2" t="s">
        <v>94</v>
      </c>
      <c r="B290" s="3">
        <v>45658</v>
      </c>
      <c r="C290" s="2" t="s">
        <v>15</v>
      </c>
      <c r="D290" s="2" t="s">
        <v>16</v>
      </c>
      <c r="E290" s="2">
        <v>70012.41</v>
      </c>
      <c r="F290" s="2">
        <v>8484</v>
      </c>
      <c r="G290" s="2">
        <v>0.27300000000000002</v>
      </c>
      <c r="H290" s="2">
        <v>72.900000000000006</v>
      </c>
      <c r="I290">
        <f t="shared" si="24"/>
        <v>0</v>
      </c>
      <c r="J290" s="2">
        <v>23</v>
      </c>
      <c r="K290" s="2">
        <v>72.900000000000006</v>
      </c>
      <c r="L290" s="2">
        <v>3.34</v>
      </c>
      <c r="M290" s="2">
        <v>0</v>
      </c>
      <c r="N290" s="2">
        <v>3.7</v>
      </c>
      <c r="O290" s="2">
        <v>729424.42</v>
      </c>
      <c r="P290" s="2">
        <v>75592.28</v>
      </c>
      <c r="Q290">
        <f t="shared" si="25"/>
        <v>1</v>
      </c>
      <c r="R290">
        <f t="shared" si="26"/>
        <v>0</v>
      </c>
      <c r="S290">
        <f t="shared" si="27"/>
        <v>0</v>
      </c>
      <c r="T290">
        <f t="shared" si="28"/>
        <v>0</v>
      </c>
      <c r="U290">
        <f t="shared" si="29"/>
        <v>0</v>
      </c>
    </row>
    <row r="291" spans="1:21" ht="40.5" customHeight="1">
      <c r="A291" s="2" t="s">
        <v>94</v>
      </c>
      <c r="B291" s="3">
        <v>45689</v>
      </c>
      <c r="C291" s="2" t="s">
        <v>15</v>
      </c>
      <c r="D291" s="2" t="s">
        <v>16</v>
      </c>
      <c r="E291" s="2">
        <v>68909.259999999995</v>
      </c>
      <c r="F291" s="2">
        <v>7794</v>
      </c>
      <c r="G291" s="2">
        <v>0.28399999999999997</v>
      </c>
      <c r="H291" s="2">
        <v>89</v>
      </c>
      <c r="I291">
        <f t="shared" si="24"/>
        <v>0</v>
      </c>
      <c r="J291" s="2">
        <v>22</v>
      </c>
      <c r="K291" s="2">
        <v>89</v>
      </c>
      <c r="L291" s="2">
        <v>0.33</v>
      </c>
      <c r="M291" s="2">
        <v>0</v>
      </c>
      <c r="N291" s="2">
        <v>4</v>
      </c>
      <c r="O291" s="2">
        <v>696261.49</v>
      </c>
      <c r="P291" s="2">
        <v>72455.350000000006</v>
      </c>
      <c r="Q291">
        <f t="shared" si="25"/>
        <v>1</v>
      </c>
      <c r="R291">
        <f t="shared" si="26"/>
        <v>0</v>
      </c>
      <c r="S291">
        <f t="shared" si="27"/>
        <v>0</v>
      </c>
      <c r="T291">
        <f t="shared" si="28"/>
        <v>0</v>
      </c>
      <c r="U291">
        <f t="shared" si="29"/>
        <v>0</v>
      </c>
    </row>
    <row r="292" spans="1:21" ht="40.5" customHeight="1">
      <c r="A292" s="2" t="s">
        <v>94</v>
      </c>
      <c r="B292" s="3">
        <v>45717</v>
      </c>
      <c r="C292" s="2" t="s">
        <v>15</v>
      </c>
      <c r="D292" s="2" t="s">
        <v>16</v>
      </c>
      <c r="E292" s="2">
        <v>56737.3</v>
      </c>
      <c r="F292" s="2">
        <v>8300</v>
      </c>
      <c r="G292" s="2">
        <v>3.2000000000000001E-2</v>
      </c>
      <c r="H292" s="2">
        <v>83.2</v>
      </c>
      <c r="I292">
        <f t="shared" si="24"/>
        <v>0</v>
      </c>
      <c r="J292" s="2">
        <v>21</v>
      </c>
      <c r="K292" s="2">
        <v>83.2</v>
      </c>
      <c r="L292" s="2">
        <v>3.44</v>
      </c>
      <c r="M292" s="2">
        <v>1</v>
      </c>
      <c r="N292" s="2">
        <v>4.3</v>
      </c>
      <c r="O292" s="2">
        <v>813316.71</v>
      </c>
      <c r="P292" s="2">
        <v>110077.42</v>
      </c>
      <c r="Q292">
        <f t="shared" si="25"/>
        <v>1</v>
      </c>
      <c r="R292">
        <f t="shared" si="26"/>
        <v>0</v>
      </c>
      <c r="S292">
        <f t="shared" si="27"/>
        <v>0</v>
      </c>
      <c r="T292">
        <f t="shared" si="28"/>
        <v>0</v>
      </c>
      <c r="U292">
        <f t="shared" si="29"/>
        <v>0</v>
      </c>
    </row>
    <row r="293" spans="1:21" ht="40.5" customHeight="1">
      <c r="A293" s="2" t="s">
        <v>94</v>
      </c>
      <c r="B293" s="3">
        <v>45748</v>
      </c>
      <c r="C293" s="2" t="s">
        <v>15</v>
      </c>
      <c r="D293" s="2" t="s">
        <v>16</v>
      </c>
      <c r="E293" s="2">
        <v>54080.91</v>
      </c>
      <c r="F293" s="2">
        <v>7083</v>
      </c>
      <c r="G293" s="2">
        <v>0</v>
      </c>
      <c r="H293" s="2">
        <v>97</v>
      </c>
      <c r="I293">
        <f t="shared" si="24"/>
        <v>0</v>
      </c>
      <c r="J293" s="2">
        <v>15</v>
      </c>
      <c r="K293" s="2">
        <v>97</v>
      </c>
      <c r="L293" s="2">
        <v>5.33</v>
      </c>
      <c r="M293" s="2">
        <v>0</v>
      </c>
      <c r="N293" s="2">
        <v>4.0999999999999996</v>
      </c>
      <c r="O293" s="2">
        <v>702068.92</v>
      </c>
      <c r="P293" s="2">
        <v>111266.63</v>
      </c>
      <c r="Q293">
        <f t="shared" si="25"/>
        <v>1</v>
      </c>
      <c r="R293">
        <f t="shared" si="26"/>
        <v>0</v>
      </c>
      <c r="S293">
        <f t="shared" si="27"/>
        <v>0</v>
      </c>
      <c r="T293">
        <f t="shared" si="28"/>
        <v>0</v>
      </c>
      <c r="U293">
        <f t="shared" si="29"/>
        <v>0</v>
      </c>
    </row>
    <row r="294" spans="1:21" ht="40.5" customHeight="1">
      <c r="A294" s="2" t="s">
        <v>95</v>
      </c>
      <c r="B294" s="3">
        <v>45658</v>
      </c>
      <c r="C294" s="2" t="s">
        <v>27</v>
      </c>
      <c r="D294" s="2" t="s">
        <v>18</v>
      </c>
      <c r="E294" s="2">
        <v>51996.32</v>
      </c>
      <c r="F294" s="2">
        <v>3834</v>
      </c>
      <c r="G294" s="2">
        <v>9.6000000000000002E-2</v>
      </c>
      <c r="H294" s="2">
        <v>86.7</v>
      </c>
      <c r="I294">
        <f t="shared" si="24"/>
        <v>0</v>
      </c>
      <c r="J294" s="2">
        <v>8</v>
      </c>
      <c r="K294" s="2">
        <v>86.7</v>
      </c>
      <c r="L294" s="2">
        <v>6.04</v>
      </c>
      <c r="M294" s="2">
        <v>0</v>
      </c>
      <c r="N294" s="2">
        <v>4.5</v>
      </c>
      <c r="O294" s="2">
        <v>546223.69999999995</v>
      </c>
      <c r="P294" s="2">
        <v>100769.17</v>
      </c>
      <c r="Q294">
        <f t="shared" si="25"/>
        <v>0</v>
      </c>
      <c r="R294">
        <f t="shared" si="26"/>
        <v>0</v>
      </c>
      <c r="S294">
        <f t="shared" si="27"/>
        <v>0</v>
      </c>
      <c r="T294">
        <f t="shared" si="28"/>
        <v>1</v>
      </c>
      <c r="U294">
        <f t="shared" si="29"/>
        <v>0</v>
      </c>
    </row>
    <row r="295" spans="1:21" ht="40.5" customHeight="1">
      <c r="A295" s="2" t="s">
        <v>95</v>
      </c>
      <c r="B295" s="3">
        <v>45689</v>
      </c>
      <c r="C295" s="2" t="s">
        <v>27</v>
      </c>
      <c r="D295" s="2" t="s">
        <v>18</v>
      </c>
      <c r="E295" s="2">
        <v>40102.879999999997</v>
      </c>
      <c r="F295" s="2">
        <v>2358</v>
      </c>
      <c r="G295" s="2">
        <v>0.11899999999999999</v>
      </c>
      <c r="H295" s="2">
        <v>88.7</v>
      </c>
      <c r="I295">
        <f t="shared" si="24"/>
        <v>0</v>
      </c>
      <c r="J295" s="2">
        <v>9</v>
      </c>
      <c r="K295" s="2">
        <v>88.7</v>
      </c>
      <c r="L295" s="2">
        <v>1.6</v>
      </c>
      <c r="M295" s="2">
        <v>0</v>
      </c>
      <c r="N295" s="2">
        <v>4.2</v>
      </c>
      <c r="O295" s="2">
        <v>533121.26</v>
      </c>
      <c r="P295" s="2">
        <v>55063.39</v>
      </c>
      <c r="Q295">
        <f t="shared" si="25"/>
        <v>0</v>
      </c>
      <c r="R295">
        <f t="shared" si="26"/>
        <v>0</v>
      </c>
      <c r="S295">
        <f t="shared" si="27"/>
        <v>0</v>
      </c>
      <c r="T295">
        <f t="shared" si="28"/>
        <v>1</v>
      </c>
      <c r="U295">
        <f t="shared" si="29"/>
        <v>0</v>
      </c>
    </row>
    <row r="296" spans="1:21" ht="40.5" customHeight="1">
      <c r="A296" s="2" t="s">
        <v>95</v>
      </c>
      <c r="B296" s="3">
        <v>45717</v>
      </c>
      <c r="C296" s="2" t="s">
        <v>27</v>
      </c>
      <c r="D296" s="2" t="s">
        <v>18</v>
      </c>
      <c r="E296" s="2">
        <v>59825.51</v>
      </c>
      <c r="F296" s="2">
        <v>1231</v>
      </c>
      <c r="G296" s="2">
        <v>0.214</v>
      </c>
      <c r="H296" s="2">
        <v>84.8</v>
      </c>
      <c r="I296">
        <f t="shared" si="24"/>
        <v>0</v>
      </c>
      <c r="J296" s="2">
        <v>10</v>
      </c>
      <c r="K296" s="2">
        <v>84.8</v>
      </c>
      <c r="L296" s="2">
        <v>8.9600000000000009</v>
      </c>
      <c r="M296" s="2">
        <v>0</v>
      </c>
      <c r="N296" s="2">
        <v>4.7</v>
      </c>
      <c r="O296" s="2">
        <v>498970.32</v>
      </c>
      <c r="P296" s="2">
        <v>69656.7</v>
      </c>
      <c r="Q296">
        <f t="shared" si="25"/>
        <v>0</v>
      </c>
      <c r="R296">
        <f t="shared" si="26"/>
        <v>0</v>
      </c>
      <c r="S296">
        <f t="shared" si="27"/>
        <v>0</v>
      </c>
      <c r="T296">
        <f t="shared" si="28"/>
        <v>1</v>
      </c>
      <c r="U296">
        <f t="shared" si="29"/>
        <v>0</v>
      </c>
    </row>
    <row r="297" spans="1:21" ht="40.5" customHeight="1">
      <c r="A297" s="2" t="s">
        <v>95</v>
      </c>
      <c r="B297" s="3">
        <v>45748</v>
      </c>
      <c r="C297" s="2" t="s">
        <v>27</v>
      </c>
      <c r="D297" s="2" t="s">
        <v>18</v>
      </c>
      <c r="E297" s="2">
        <v>27398.28</v>
      </c>
      <c r="F297" s="2">
        <v>1723</v>
      </c>
      <c r="G297" s="2">
        <v>0.17100000000000001</v>
      </c>
      <c r="H297" s="2">
        <v>81</v>
      </c>
      <c r="I297">
        <f t="shared" si="24"/>
        <v>0</v>
      </c>
      <c r="J297" s="2">
        <v>9</v>
      </c>
      <c r="K297" s="2">
        <v>81</v>
      </c>
      <c r="L297" s="2">
        <v>0.74</v>
      </c>
      <c r="M297" s="2">
        <v>0</v>
      </c>
      <c r="N297" s="2">
        <v>4.5999999999999996</v>
      </c>
      <c r="O297" s="2">
        <v>487738.26</v>
      </c>
      <c r="P297" s="2">
        <v>96435.6</v>
      </c>
      <c r="Q297">
        <f t="shared" si="25"/>
        <v>0</v>
      </c>
      <c r="R297">
        <f t="shared" si="26"/>
        <v>0</v>
      </c>
      <c r="S297">
        <f t="shared" si="27"/>
        <v>0</v>
      </c>
      <c r="T297">
        <f t="shared" si="28"/>
        <v>1</v>
      </c>
      <c r="U297">
        <f t="shared" si="29"/>
        <v>0</v>
      </c>
    </row>
    <row r="298" spans="1:21" ht="40.5" customHeight="1">
      <c r="A298" s="2" t="s">
        <v>96</v>
      </c>
      <c r="B298" s="3">
        <v>45658</v>
      </c>
      <c r="C298" s="2" t="s">
        <v>27</v>
      </c>
      <c r="D298" s="2" t="s">
        <v>18</v>
      </c>
      <c r="E298" s="2">
        <v>55599.56</v>
      </c>
      <c r="F298" s="2">
        <v>5896</v>
      </c>
      <c r="G298" s="2">
        <v>3.5999999999999997E-2</v>
      </c>
      <c r="H298" s="2">
        <v>93.1</v>
      </c>
      <c r="I298">
        <f t="shared" si="24"/>
        <v>0</v>
      </c>
      <c r="J298" s="2">
        <v>12</v>
      </c>
      <c r="K298" s="2">
        <v>93.1</v>
      </c>
      <c r="L298" s="2">
        <v>6.13</v>
      </c>
      <c r="M298" s="2">
        <v>0</v>
      </c>
      <c r="N298" s="2">
        <v>3.3</v>
      </c>
      <c r="O298" s="2">
        <v>668459.37</v>
      </c>
      <c r="P298" s="2">
        <v>126435.42</v>
      </c>
      <c r="Q298">
        <f t="shared" si="25"/>
        <v>0</v>
      </c>
      <c r="R298">
        <f t="shared" si="26"/>
        <v>0</v>
      </c>
      <c r="S298">
        <f t="shared" si="27"/>
        <v>0</v>
      </c>
      <c r="T298">
        <f t="shared" si="28"/>
        <v>1</v>
      </c>
      <c r="U298">
        <f t="shared" si="29"/>
        <v>0</v>
      </c>
    </row>
    <row r="299" spans="1:21" ht="40.5" customHeight="1">
      <c r="A299" s="2" t="s">
        <v>96</v>
      </c>
      <c r="B299" s="3">
        <v>45689</v>
      </c>
      <c r="C299" s="2" t="s">
        <v>27</v>
      </c>
      <c r="D299" s="2" t="s">
        <v>18</v>
      </c>
      <c r="E299" s="2">
        <v>55477.61</v>
      </c>
      <c r="F299" s="2">
        <v>5903</v>
      </c>
      <c r="G299" s="2">
        <v>0.10199999999999999</v>
      </c>
      <c r="H299" s="2">
        <v>96.2</v>
      </c>
      <c r="I299">
        <f t="shared" si="24"/>
        <v>0</v>
      </c>
      <c r="J299" s="2">
        <v>14</v>
      </c>
      <c r="K299" s="2">
        <v>96.2</v>
      </c>
      <c r="L299" s="2">
        <v>1.41</v>
      </c>
      <c r="M299" s="2">
        <v>0</v>
      </c>
      <c r="N299" s="2">
        <v>3.3</v>
      </c>
      <c r="O299" s="2">
        <v>763162.45</v>
      </c>
      <c r="P299" s="2">
        <v>162524.04999999999</v>
      </c>
      <c r="Q299">
        <f t="shared" si="25"/>
        <v>0</v>
      </c>
      <c r="R299">
        <f t="shared" si="26"/>
        <v>0</v>
      </c>
      <c r="S299">
        <f t="shared" si="27"/>
        <v>0</v>
      </c>
      <c r="T299">
        <f t="shared" si="28"/>
        <v>1</v>
      </c>
      <c r="U299">
        <f t="shared" si="29"/>
        <v>0</v>
      </c>
    </row>
    <row r="300" spans="1:21" ht="40.5" customHeight="1">
      <c r="A300" s="2" t="s">
        <v>96</v>
      </c>
      <c r="B300" s="3">
        <v>45717</v>
      </c>
      <c r="C300" s="2" t="s">
        <v>27</v>
      </c>
      <c r="D300" s="2" t="s">
        <v>18</v>
      </c>
      <c r="E300" s="2">
        <v>46174.7</v>
      </c>
      <c r="F300" s="2">
        <v>4898</v>
      </c>
      <c r="G300" s="2">
        <v>0.114</v>
      </c>
      <c r="H300" s="2">
        <v>91.7</v>
      </c>
      <c r="I300">
        <f t="shared" si="24"/>
        <v>0</v>
      </c>
      <c r="J300" s="2">
        <v>11</v>
      </c>
      <c r="K300" s="2">
        <v>91.7</v>
      </c>
      <c r="L300" s="2">
        <v>3.75</v>
      </c>
      <c r="M300" s="2">
        <v>0</v>
      </c>
      <c r="N300" s="2">
        <v>3.1</v>
      </c>
      <c r="O300" s="2">
        <v>599017.32999999996</v>
      </c>
      <c r="P300" s="2">
        <v>134009.92000000001</v>
      </c>
      <c r="Q300">
        <f t="shared" si="25"/>
        <v>0</v>
      </c>
      <c r="R300">
        <f t="shared" si="26"/>
        <v>0</v>
      </c>
      <c r="S300">
        <f t="shared" si="27"/>
        <v>0</v>
      </c>
      <c r="T300">
        <f t="shared" si="28"/>
        <v>1</v>
      </c>
      <c r="U300">
        <f t="shared" si="29"/>
        <v>0</v>
      </c>
    </row>
    <row r="301" spans="1:21" ht="40.5" customHeight="1">
      <c r="A301" s="2" t="s">
        <v>96</v>
      </c>
      <c r="B301" s="3">
        <v>45748</v>
      </c>
      <c r="C301" s="2" t="s">
        <v>27</v>
      </c>
      <c r="D301" s="2" t="s">
        <v>18</v>
      </c>
      <c r="E301" s="2">
        <v>24362.98</v>
      </c>
      <c r="F301" s="2">
        <v>1462</v>
      </c>
      <c r="G301" s="2">
        <v>0.11700000000000001</v>
      </c>
      <c r="H301" s="2">
        <v>89.3</v>
      </c>
      <c r="I301">
        <f t="shared" si="24"/>
        <v>0</v>
      </c>
      <c r="J301" s="2">
        <v>6</v>
      </c>
      <c r="K301" s="2">
        <v>89.3</v>
      </c>
      <c r="L301" s="2">
        <v>15.06</v>
      </c>
      <c r="M301" s="2">
        <v>0</v>
      </c>
      <c r="N301" s="2">
        <v>3.2</v>
      </c>
      <c r="O301" s="2">
        <v>401582.58</v>
      </c>
      <c r="P301" s="2">
        <v>68454.929999999993</v>
      </c>
      <c r="Q301">
        <f t="shared" si="25"/>
        <v>0</v>
      </c>
      <c r="R301">
        <f t="shared" si="26"/>
        <v>0</v>
      </c>
      <c r="S301">
        <f t="shared" si="27"/>
        <v>0</v>
      </c>
      <c r="T301">
        <f t="shared" si="28"/>
        <v>1</v>
      </c>
      <c r="U301">
        <f t="shared" si="29"/>
        <v>0</v>
      </c>
    </row>
    <row r="302" spans="1:21" ht="40.5" customHeight="1">
      <c r="A302" s="2" t="s">
        <v>97</v>
      </c>
      <c r="B302" s="3">
        <v>45658</v>
      </c>
      <c r="C302" s="2" t="s">
        <v>20</v>
      </c>
      <c r="D302" s="2" t="s">
        <v>28</v>
      </c>
      <c r="E302" s="2">
        <v>40647.67</v>
      </c>
      <c r="F302" s="2">
        <v>8252</v>
      </c>
      <c r="G302" s="2">
        <v>0.14099999999999999</v>
      </c>
      <c r="H302" s="2">
        <v>88.2</v>
      </c>
      <c r="I302">
        <f t="shared" si="24"/>
        <v>1</v>
      </c>
      <c r="J302" s="2">
        <v>22</v>
      </c>
      <c r="K302" s="2">
        <v>88.2</v>
      </c>
      <c r="L302" s="2">
        <v>5.07</v>
      </c>
      <c r="M302" s="2">
        <v>1</v>
      </c>
      <c r="N302" s="2">
        <v>4.0999999999999996</v>
      </c>
      <c r="O302" s="2">
        <v>703812.99</v>
      </c>
      <c r="P302" s="2">
        <v>133577.98000000001</v>
      </c>
      <c r="Q302">
        <f t="shared" si="25"/>
        <v>0</v>
      </c>
      <c r="R302">
        <f t="shared" si="26"/>
        <v>0</v>
      </c>
      <c r="S302">
        <f t="shared" si="27"/>
        <v>0</v>
      </c>
      <c r="T302">
        <f t="shared" si="28"/>
        <v>0</v>
      </c>
      <c r="U302">
        <f t="shared" si="29"/>
        <v>1</v>
      </c>
    </row>
    <row r="303" spans="1:21" ht="40.5" customHeight="1">
      <c r="A303" s="2" t="s">
        <v>97</v>
      </c>
      <c r="B303" s="3">
        <v>45689</v>
      </c>
      <c r="C303" s="2" t="s">
        <v>20</v>
      </c>
      <c r="D303" s="2" t="s">
        <v>28</v>
      </c>
      <c r="E303" s="2">
        <v>63986.98</v>
      </c>
      <c r="F303" s="2">
        <v>7989</v>
      </c>
      <c r="G303" s="2">
        <v>7.3999999999999996E-2</v>
      </c>
      <c r="H303" s="2">
        <v>83.3</v>
      </c>
      <c r="I303">
        <f t="shared" si="24"/>
        <v>1</v>
      </c>
      <c r="J303" s="2">
        <v>20</v>
      </c>
      <c r="K303" s="2">
        <v>83.3</v>
      </c>
      <c r="L303" s="2">
        <v>3.6</v>
      </c>
      <c r="M303" s="2">
        <v>0</v>
      </c>
      <c r="N303" s="2">
        <v>3.7</v>
      </c>
      <c r="O303" s="2">
        <v>724346.73</v>
      </c>
      <c r="P303" s="2">
        <v>155013.91</v>
      </c>
      <c r="Q303">
        <f t="shared" si="25"/>
        <v>0</v>
      </c>
      <c r="R303">
        <f t="shared" si="26"/>
        <v>0</v>
      </c>
      <c r="S303">
        <f t="shared" si="27"/>
        <v>0</v>
      </c>
      <c r="T303">
        <f t="shared" si="28"/>
        <v>0</v>
      </c>
      <c r="U303">
        <f t="shared" si="29"/>
        <v>1</v>
      </c>
    </row>
    <row r="304" spans="1:21" ht="40.5" customHeight="1">
      <c r="A304" s="2" t="s">
        <v>97</v>
      </c>
      <c r="B304" s="3">
        <v>45717</v>
      </c>
      <c r="C304" s="2" t="s">
        <v>20</v>
      </c>
      <c r="D304" s="2" t="s">
        <v>28</v>
      </c>
      <c r="E304" s="2">
        <v>52843.75</v>
      </c>
      <c r="F304" s="2">
        <v>8268</v>
      </c>
      <c r="G304" s="2">
        <v>0.13800000000000001</v>
      </c>
      <c r="H304" s="2">
        <v>87.3</v>
      </c>
      <c r="I304">
        <f t="shared" si="24"/>
        <v>1</v>
      </c>
      <c r="J304" s="2">
        <v>19</v>
      </c>
      <c r="K304" s="2">
        <v>87.3</v>
      </c>
      <c r="L304" s="2">
        <v>4.3899999999999997</v>
      </c>
      <c r="M304" s="2">
        <v>1</v>
      </c>
      <c r="N304" s="2">
        <v>4.7</v>
      </c>
      <c r="O304" s="2">
        <v>730890.01</v>
      </c>
      <c r="P304" s="2">
        <v>105502.56</v>
      </c>
      <c r="Q304">
        <f t="shared" si="25"/>
        <v>0</v>
      </c>
      <c r="R304">
        <f t="shared" si="26"/>
        <v>0</v>
      </c>
      <c r="S304">
        <f t="shared" si="27"/>
        <v>0</v>
      </c>
      <c r="T304">
        <f t="shared" si="28"/>
        <v>0</v>
      </c>
      <c r="U304">
        <f t="shared" si="29"/>
        <v>1</v>
      </c>
    </row>
    <row r="305" spans="1:21" ht="40.5" customHeight="1">
      <c r="A305" s="2" t="s">
        <v>97</v>
      </c>
      <c r="B305" s="3">
        <v>45748</v>
      </c>
      <c r="C305" s="2" t="s">
        <v>20</v>
      </c>
      <c r="D305" s="2" t="s">
        <v>28</v>
      </c>
      <c r="E305" s="2">
        <v>31997.25</v>
      </c>
      <c r="F305" s="2">
        <v>8183</v>
      </c>
      <c r="G305" s="2">
        <v>0.19800000000000001</v>
      </c>
      <c r="H305" s="2">
        <v>93</v>
      </c>
      <c r="I305">
        <f t="shared" si="24"/>
        <v>1</v>
      </c>
      <c r="J305" s="2">
        <v>18</v>
      </c>
      <c r="K305" s="2">
        <v>93</v>
      </c>
      <c r="L305" s="2">
        <v>2.79</v>
      </c>
      <c r="M305" s="2">
        <v>0</v>
      </c>
      <c r="N305" s="2">
        <v>4.2</v>
      </c>
      <c r="O305" s="2">
        <v>780580.95</v>
      </c>
      <c r="P305" s="2">
        <v>138144.46</v>
      </c>
      <c r="Q305">
        <f t="shared" si="25"/>
        <v>0</v>
      </c>
      <c r="R305">
        <f t="shared" si="26"/>
        <v>0</v>
      </c>
      <c r="S305">
        <f t="shared" si="27"/>
        <v>0</v>
      </c>
      <c r="T305">
        <f t="shared" si="28"/>
        <v>0</v>
      </c>
      <c r="U305">
        <f t="shared" si="29"/>
        <v>1</v>
      </c>
    </row>
    <row r="306" spans="1:21" ht="40.5" customHeight="1">
      <c r="A306" s="2" t="s">
        <v>98</v>
      </c>
      <c r="B306" s="3">
        <v>45658</v>
      </c>
      <c r="C306" s="2" t="s">
        <v>24</v>
      </c>
      <c r="D306" s="2" t="s">
        <v>16</v>
      </c>
      <c r="E306" s="2">
        <v>54948.02</v>
      </c>
      <c r="F306" s="2">
        <v>6534</v>
      </c>
      <c r="G306" s="2">
        <v>0.183</v>
      </c>
      <c r="H306" s="2">
        <v>94.5</v>
      </c>
      <c r="I306">
        <f t="shared" si="24"/>
        <v>0</v>
      </c>
      <c r="J306" s="2">
        <v>14</v>
      </c>
      <c r="K306" s="2">
        <v>94.5</v>
      </c>
      <c r="L306" s="2">
        <v>1.56</v>
      </c>
      <c r="M306" s="2">
        <v>0</v>
      </c>
      <c r="N306" s="2">
        <v>4</v>
      </c>
      <c r="O306" s="2">
        <v>727957.48</v>
      </c>
      <c r="P306" s="2">
        <v>74805.23</v>
      </c>
      <c r="Q306">
        <f t="shared" si="25"/>
        <v>0</v>
      </c>
      <c r="R306">
        <f t="shared" si="26"/>
        <v>1</v>
      </c>
      <c r="S306">
        <f t="shared" si="27"/>
        <v>0</v>
      </c>
      <c r="T306">
        <f t="shared" si="28"/>
        <v>0</v>
      </c>
      <c r="U306">
        <f t="shared" si="29"/>
        <v>0</v>
      </c>
    </row>
    <row r="307" spans="1:21" ht="40.5" customHeight="1">
      <c r="A307" s="2" t="s">
        <v>98</v>
      </c>
      <c r="B307" s="3">
        <v>45689</v>
      </c>
      <c r="C307" s="2" t="s">
        <v>24</v>
      </c>
      <c r="D307" s="2" t="s">
        <v>16</v>
      </c>
      <c r="E307" s="2">
        <v>46146.239999999998</v>
      </c>
      <c r="F307" s="2">
        <v>5804</v>
      </c>
      <c r="G307" s="2">
        <v>4.7E-2</v>
      </c>
      <c r="H307" s="2">
        <v>86.9</v>
      </c>
      <c r="I307">
        <f t="shared" si="24"/>
        <v>0</v>
      </c>
      <c r="J307" s="2">
        <v>16</v>
      </c>
      <c r="K307" s="2">
        <v>86.9</v>
      </c>
      <c r="L307" s="2">
        <v>15.82</v>
      </c>
      <c r="M307" s="2">
        <v>0</v>
      </c>
      <c r="N307" s="2">
        <v>3.8</v>
      </c>
      <c r="O307" s="2">
        <v>538376</v>
      </c>
      <c r="P307" s="2">
        <v>87605.62</v>
      </c>
      <c r="Q307">
        <f t="shared" si="25"/>
        <v>0</v>
      </c>
      <c r="R307">
        <f t="shared" si="26"/>
        <v>1</v>
      </c>
      <c r="S307">
        <f t="shared" si="27"/>
        <v>0</v>
      </c>
      <c r="T307">
        <f t="shared" si="28"/>
        <v>0</v>
      </c>
      <c r="U307">
        <f t="shared" si="29"/>
        <v>0</v>
      </c>
    </row>
    <row r="308" spans="1:21" ht="40.5" customHeight="1">
      <c r="A308" s="2" t="s">
        <v>98</v>
      </c>
      <c r="B308" s="3">
        <v>45717</v>
      </c>
      <c r="C308" s="2" t="s">
        <v>24</v>
      </c>
      <c r="D308" s="2" t="s">
        <v>16</v>
      </c>
      <c r="E308" s="2">
        <v>22387.26</v>
      </c>
      <c r="F308" s="2">
        <v>6301</v>
      </c>
      <c r="G308" s="2">
        <v>0.14599999999999999</v>
      </c>
      <c r="H308" s="2">
        <v>85.9</v>
      </c>
      <c r="I308">
        <f t="shared" si="24"/>
        <v>0</v>
      </c>
      <c r="J308" s="2">
        <v>14</v>
      </c>
      <c r="K308" s="2">
        <v>85.9</v>
      </c>
      <c r="L308" s="2">
        <v>1.17</v>
      </c>
      <c r="M308" s="2">
        <v>1</v>
      </c>
      <c r="N308" s="2">
        <v>3.7</v>
      </c>
      <c r="O308" s="2">
        <v>665342.49</v>
      </c>
      <c r="P308" s="2">
        <v>93441.81</v>
      </c>
      <c r="Q308">
        <f t="shared" si="25"/>
        <v>0</v>
      </c>
      <c r="R308">
        <f t="shared" si="26"/>
        <v>1</v>
      </c>
      <c r="S308">
        <f t="shared" si="27"/>
        <v>0</v>
      </c>
      <c r="T308">
        <f t="shared" si="28"/>
        <v>0</v>
      </c>
      <c r="U308">
        <f t="shared" si="29"/>
        <v>0</v>
      </c>
    </row>
    <row r="309" spans="1:21" ht="40.5" customHeight="1">
      <c r="A309" s="2" t="s">
        <v>98</v>
      </c>
      <c r="B309" s="3">
        <v>45748</v>
      </c>
      <c r="C309" s="2" t="s">
        <v>24</v>
      </c>
      <c r="D309" s="2" t="s">
        <v>16</v>
      </c>
      <c r="E309" s="2">
        <v>60684.05</v>
      </c>
      <c r="F309" s="2">
        <v>6399</v>
      </c>
      <c r="G309" s="2">
        <v>7.4999999999999997E-2</v>
      </c>
      <c r="H309" s="2">
        <v>99</v>
      </c>
      <c r="I309">
        <f t="shared" si="24"/>
        <v>0</v>
      </c>
      <c r="J309" s="2">
        <v>16</v>
      </c>
      <c r="K309" s="2">
        <v>99</v>
      </c>
      <c r="L309" s="2">
        <v>3.82</v>
      </c>
      <c r="M309" s="2">
        <v>0</v>
      </c>
      <c r="N309" s="2">
        <v>3.5</v>
      </c>
      <c r="O309" s="2">
        <v>651164.18000000005</v>
      </c>
      <c r="P309" s="2">
        <v>109466.5</v>
      </c>
      <c r="Q309">
        <f t="shared" si="25"/>
        <v>0</v>
      </c>
      <c r="R309">
        <f t="shared" si="26"/>
        <v>1</v>
      </c>
      <c r="S309">
        <f t="shared" si="27"/>
        <v>0</v>
      </c>
      <c r="T309">
        <f t="shared" si="28"/>
        <v>0</v>
      </c>
      <c r="U309">
        <f t="shared" si="29"/>
        <v>0</v>
      </c>
    </row>
    <row r="310" spans="1:21" ht="40.5" customHeight="1">
      <c r="A310" s="2" t="s">
        <v>99</v>
      </c>
      <c r="B310" s="3">
        <v>45658</v>
      </c>
      <c r="C310" s="2" t="s">
        <v>24</v>
      </c>
      <c r="D310" s="2" t="s">
        <v>18</v>
      </c>
      <c r="E310" s="2">
        <v>48465.599999999999</v>
      </c>
      <c r="F310" s="2">
        <v>5759</v>
      </c>
      <c r="G310" s="2">
        <v>0.154</v>
      </c>
      <c r="H310" s="2">
        <v>87.5</v>
      </c>
      <c r="I310">
        <f t="shared" si="24"/>
        <v>0</v>
      </c>
      <c r="J310" s="2">
        <v>13</v>
      </c>
      <c r="K310" s="2">
        <v>87.5</v>
      </c>
      <c r="L310" s="2">
        <v>4.1399999999999997</v>
      </c>
      <c r="M310" s="2">
        <v>0</v>
      </c>
      <c r="N310" s="2">
        <v>4</v>
      </c>
      <c r="O310" s="2">
        <v>628538.30000000005</v>
      </c>
      <c r="P310" s="2">
        <v>112509.15</v>
      </c>
      <c r="Q310">
        <f t="shared" si="25"/>
        <v>0</v>
      </c>
      <c r="R310">
        <f t="shared" si="26"/>
        <v>1</v>
      </c>
      <c r="S310">
        <f t="shared" si="27"/>
        <v>0</v>
      </c>
      <c r="T310">
        <f t="shared" si="28"/>
        <v>1</v>
      </c>
      <c r="U310">
        <f t="shared" si="29"/>
        <v>0</v>
      </c>
    </row>
    <row r="311" spans="1:21" ht="40.5" customHeight="1">
      <c r="A311" s="2" t="s">
        <v>99</v>
      </c>
      <c r="B311" s="3">
        <v>45689</v>
      </c>
      <c r="C311" s="2" t="s">
        <v>24</v>
      </c>
      <c r="D311" s="2" t="s">
        <v>18</v>
      </c>
      <c r="E311" s="2">
        <v>23702.38</v>
      </c>
      <c r="F311" s="2">
        <v>5285</v>
      </c>
      <c r="G311" s="2">
        <v>0.16700000000000001</v>
      </c>
      <c r="H311" s="2">
        <v>79.7</v>
      </c>
      <c r="I311">
        <f t="shared" si="24"/>
        <v>0</v>
      </c>
      <c r="J311" s="2">
        <v>14</v>
      </c>
      <c r="K311" s="2">
        <v>79.7</v>
      </c>
      <c r="L311" s="2">
        <v>1.1000000000000001</v>
      </c>
      <c r="M311" s="2">
        <v>0</v>
      </c>
      <c r="N311" s="2">
        <v>4.3</v>
      </c>
      <c r="O311" s="2">
        <v>536524.84</v>
      </c>
      <c r="P311" s="2">
        <v>92752.94</v>
      </c>
      <c r="Q311">
        <f t="shared" si="25"/>
        <v>0</v>
      </c>
      <c r="R311">
        <f t="shared" si="26"/>
        <v>1</v>
      </c>
      <c r="S311">
        <f t="shared" si="27"/>
        <v>0</v>
      </c>
      <c r="T311">
        <f t="shared" si="28"/>
        <v>1</v>
      </c>
      <c r="U311">
        <f t="shared" si="29"/>
        <v>0</v>
      </c>
    </row>
    <row r="312" spans="1:21" ht="40.5" customHeight="1">
      <c r="A312" s="2" t="s">
        <v>99</v>
      </c>
      <c r="B312" s="3">
        <v>45717</v>
      </c>
      <c r="C312" s="2" t="s">
        <v>24</v>
      </c>
      <c r="D312" s="2" t="s">
        <v>18</v>
      </c>
      <c r="E312" s="2">
        <v>54322.94</v>
      </c>
      <c r="F312" s="2">
        <v>5434</v>
      </c>
      <c r="G312" s="2">
        <v>0.2</v>
      </c>
      <c r="H312" s="2">
        <v>85.7</v>
      </c>
      <c r="I312">
        <f t="shared" si="24"/>
        <v>0</v>
      </c>
      <c r="J312" s="2">
        <v>13</v>
      </c>
      <c r="K312" s="2">
        <v>85.7</v>
      </c>
      <c r="L312" s="2">
        <v>10.6</v>
      </c>
      <c r="M312" s="2">
        <v>0</v>
      </c>
      <c r="N312" s="2">
        <v>4.2</v>
      </c>
      <c r="O312" s="2">
        <v>621677.30000000005</v>
      </c>
      <c r="P312" s="2">
        <v>105192.52</v>
      </c>
      <c r="Q312">
        <f t="shared" si="25"/>
        <v>0</v>
      </c>
      <c r="R312">
        <f t="shared" si="26"/>
        <v>1</v>
      </c>
      <c r="S312">
        <f t="shared" si="27"/>
        <v>0</v>
      </c>
      <c r="T312">
        <f t="shared" si="28"/>
        <v>1</v>
      </c>
      <c r="U312">
        <f t="shared" si="29"/>
        <v>0</v>
      </c>
    </row>
    <row r="313" spans="1:21" ht="40.5" customHeight="1">
      <c r="A313" s="2" t="s">
        <v>99</v>
      </c>
      <c r="B313" s="3">
        <v>45748</v>
      </c>
      <c r="C313" s="2" t="s">
        <v>24</v>
      </c>
      <c r="D313" s="2" t="s">
        <v>18</v>
      </c>
      <c r="E313" s="2">
        <v>86026.58</v>
      </c>
      <c r="F313" s="2">
        <v>7479</v>
      </c>
      <c r="G313" s="2">
        <v>0.14199999999999999</v>
      </c>
      <c r="H313" s="2">
        <v>89</v>
      </c>
      <c r="I313">
        <f t="shared" si="24"/>
        <v>0</v>
      </c>
      <c r="J313" s="2">
        <v>20</v>
      </c>
      <c r="K313" s="2">
        <v>89</v>
      </c>
      <c r="L313" s="2">
        <v>0.9</v>
      </c>
      <c r="M313" s="2">
        <v>0</v>
      </c>
      <c r="N313" s="2"/>
      <c r="O313" s="2">
        <v>771129.07</v>
      </c>
      <c r="P313" s="2">
        <v>116851.13</v>
      </c>
      <c r="Q313">
        <f t="shared" si="25"/>
        <v>0</v>
      </c>
      <c r="R313">
        <f t="shared" si="26"/>
        <v>1</v>
      </c>
      <c r="S313">
        <f t="shared" si="27"/>
        <v>0</v>
      </c>
      <c r="T313">
        <f t="shared" si="28"/>
        <v>1</v>
      </c>
      <c r="U313">
        <f t="shared" si="29"/>
        <v>0</v>
      </c>
    </row>
    <row r="314" spans="1:21" ht="40.5" customHeight="1">
      <c r="A314" s="2" t="s">
        <v>100</v>
      </c>
      <c r="B314" s="3">
        <v>45658</v>
      </c>
      <c r="C314" s="2" t="s">
        <v>20</v>
      </c>
      <c r="D314" s="2" t="s">
        <v>16</v>
      </c>
      <c r="E314" s="2">
        <v>78967.520000000004</v>
      </c>
      <c r="F314" s="2">
        <v>6164</v>
      </c>
      <c r="G314" s="2">
        <v>2.1000000000000001E-2</v>
      </c>
      <c r="H314" s="2">
        <v>85.5</v>
      </c>
      <c r="I314">
        <f t="shared" si="24"/>
        <v>1</v>
      </c>
      <c r="J314" s="2">
        <v>16</v>
      </c>
      <c r="K314" s="2">
        <v>85.5</v>
      </c>
      <c r="L314" s="2">
        <v>0.2</v>
      </c>
      <c r="M314" s="2">
        <v>0</v>
      </c>
      <c r="N314" s="2">
        <v>3.4</v>
      </c>
      <c r="O314" s="2">
        <v>702052.47</v>
      </c>
      <c r="P314" s="2">
        <v>121732.51</v>
      </c>
      <c r="Q314">
        <f t="shared" si="25"/>
        <v>0</v>
      </c>
      <c r="R314">
        <f t="shared" si="26"/>
        <v>0</v>
      </c>
      <c r="S314">
        <f t="shared" si="27"/>
        <v>0</v>
      </c>
      <c r="T314">
        <f t="shared" si="28"/>
        <v>0</v>
      </c>
      <c r="U314">
        <f t="shared" si="29"/>
        <v>0</v>
      </c>
    </row>
    <row r="315" spans="1:21" ht="40.5" customHeight="1">
      <c r="A315" s="2" t="s">
        <v>100</v>
      </c>
      <c r="B315" s="3">
        <v>45689</v>
      </c>
      <c r="C315" s="2" t="s">
        <v>20</v>
      </c>
      <c r="D315" s="2" t="s">
        <v>16</v>
      </c>
      <c r="E315" s="2">
        <v>46767.99</v>
      </c>
      <c r="F315" s="2">
        <v>7973</v>
      </c>
      <c r="G315" s="2">
        <v>0.183</v>
      </c>
      <c r="H315" s="2">
        <v>94.8</v>
      </c>
      <c r="I315">
        <f t="shared" si="24"/>
        <v>1</v>
      </c>
      <c r="J315" s="2">
        <v>18</v>
      </c>
      <c r="K315" s="2">
        <v>94.8</v>
      </c>
      <c r="L315" s="2">
        <v>4.67</v>
      </c>
      <c r="M315" s="2">
        <v>0</v>
      </c>
      <c r="N315" s="2"/>
      <c r="O315" s="2">
        <v>688368.46</v>
      </c>
      <c r="P315" s="2">
        <v>93588.42</v>
      </c>
      <c r="Q315">
        <f t="shared" si="25"/>
        <v>0</v>
      </c>
      <c r="R315">
        <f t="shared" si="26"/>
        <v>0</v>
      </c>
      <c r="S315">
        <f t="shared" si="27"/>
        <v>0</v>
      </c>
      <c r="T315">
        <f t="shared" si="28"/>
        <v>0</v>
      </c>
      <c r="U315">
        <f t="shared" si="29"/>
        <v>0</v>
      </c>
    </row>
    <row r="316" spans="1:21" ht="40.5" customHeight="1">
      <c r="A316" s="2" t="s">
        <v>100</v>
      </c>
      <c r="B316" s="3">
        <v>45717</v>
      </c>
      <c r="C316" s="2" t="s">
        <v>20</v>
      </c>
      <c r="D316" s="2" t="s">
        <v>16</v>
      </c>
      <c r="E316" s="2">
        <v>62507.16</v>
      </c>
      <c r="F316" s="2">
        <v>6000</v>
      </c>
      <c r="G316" s="2">
        <v>9.0999999999999998E-2</v>
      </c>
      <c r="H316" s="2">
        <v>98.2</v>
      </c>
      <c r="I316">
        <f t="shared" si="24"/>
        <v>1</v>
      </c>
      <c r="J316" s="2">
        <v>14</v>
      </c>
      <c r="K316" s="2">
        <v>98.2</v>
      </c>
      <c r="L316" s="2">
        <v>4.38</v>
      </c>
      <c r="M316" s="2">
        <v>1</v>
      </c>
      <c r="N316" s="2">
        <v>3.9</v>
      </c>
      <c r="O316" s="2">
        <v>712375.77</v>
      </c>
      <c r="P316" s="2">
        <v>104171.53</v>
      </c>
      <c r="Q316">
        <f t="shared" si="25"/>
        <v>0</v>
      </c>
      <c r="R316">
        <f t="shared" si="26"/>
        <v>0</v>
      </c>
      <c r="S316">
        <f t="shared" si="27"/>
        <v>0</v>
      </c>
      <c r="T316">
        <f t="shared" si="28"/>
        <v>0</v>
      </c>
      <c r="U316">
        <f t="shared" si="29"/>
        <v>0</v>
      </c>
    </row>
    <row r="317" spans="1:21" ht="40.5" customHeight="1">
      <c r="A317" s="2" t="s">
        <v>100</v>
      </c>
      <c r="B317" s="3">
        <v>45748</v>
      </c>
      <c r="C317" s="2" t="s">
        <v>20</v>
      </c>
      <c r="D317" s="2" t="s">
        <v>16</v>
      </c>
      <c r="E317" s="2">
        <v>66456.28</v>
      </c>
      <c r="F317" s="2">
        <v>9967</v>
      </c>
      <c r="G317" s="2">
        <v>0.108</v>
      </c>
      <c r="H317" s="2">
        <v>94.7</v>
      </c>
      <c r="I317">
        <f t="shared" si="24"/>
        <v>1</v>
      </c>
      <c r="J317" s="2">
        <v>20</v>
      </c>
      <c r="K317" s="2">
        <v>94.7</v>
      </c>
      <c r="L317" s="2">
        <v>4.4800000000000004</v>
      </c>
      <c r="M317" s="2">
        <v>0</v>
      </c>
      <c r="N317" s="2">
        <v>4.2</v>
      </c>
      <c r="O317" s="2">
        <v>844710.67</v>
      </c>
      <c r="P317" s="2">
        <v>137140.18</v>
      </c>
      <c r="Q317">
        <f t="shared" si="25"/>
        <v>0</v>
      </c>
      <c r="R317">
        <f t="shared" si="26"/>
        <v>0</v>
      </c>
      <c r="S317">
        <f t="shared" si="27"/>
        <v>0</v>
      </c>
      <c r="T317">
        <f t="shared" si="28"/>
        <v>0</v>
      </c>
      <c r="U317">
        <f t="shared" si="29"/>
        <v>0</v>
      </c>
    </row>
    <row r="318" spans="1:21" ht="40.5" customHeight="1">
      <c r="A318" s="2" t="s">
        <v>101</v>
      </c>
      <c r="B318" s="3">
        <v>45658</v>
      </c>
      <c r="C318" s="2" t="s">
        <v>15</v>
      </c>
      <c r="D318" s="2" t="s">
        <v>16</v>
      </c>
      <c r="E318" s="2">
        <v>76614.320000000007</v>
      </c>
      <c r="F318" s="2">
        <v>5639</v>
      </c>
      <c r="G318" s="2">
        <v>0.17399999999999999</v>
      </c>
      <c r="H318" s="2">
        <v>92.9</v>
      </c>
      <c r="I318">
        <f t="shared" si="24"/>
        <v>0</v>
      </c>
      <c r="J318" s="2">
        <v>15</v>
      </c>
      <c r="K318" s="2">
        <v>92.9</v>
      </c>
      <c r="L318" s="2">
        <v>1.02</v>
      </c>
      <c r="M318" s="2">
        <v>1</v>
      </c>
      <c r="N318" s="2">
        <v>4</v>
      </c>
      <c r="O318" s="2">
        <v>620264.19999999995</v>
      </c>
      <c r="P318" s="2">
        <v>91365.64</v>
      </c>
      <c r="Q318">
        <f t="shared" si="25"/>
        <v>1</v>
      </c>
      <c r="R318">
        <f t="shared" si="26"/>
        <v>0</v>
      </c>
      <c r="S318">
        <f t="shared" si="27"/>
        <v>0</v>
      </c>
      <c r="T318">
        <f t="shared" si="28"/>
        <v>0</v>
      </c>
      <c r="U318">
        <f t="shared" si="29"/>
        <v>0</v>
      </c>
    </row>
    <row r="319" spans="1:21" ht="40.5" customHeight="1">
      <c r="A319" s="2" t="s">
        <v>101</v>
      </c>
      <c r="B319" s="3">
        <v>45689</v>
      </c>
      <c r="C319" s="2" t="s">
        <v>15</v>
      </c>
      <c r="D319" s="2" t="s">
        <v>16</v>
      </c>
      <c r="E319" s="2">
        <v>24088.06</v>
      </c>
      <c r="F319" s="2">
        <v>3466</v>
      </c>
      <c r="G319" s="2">
        <v>0</v>
      </c>
      <c r="H319" s="2">
        <v>88</v>
      </c>
      <c r="I319">
        <f t="shared" si="24"/>
        <v>0</v>
      </c>
      <c r="J319" s="2">
        <v>11</v>
      </c>
      <c r="K319" s="2">
        <v>88</v>
      </c>
      <c r="L319" s="2">
        <v>0.2</v>
      </c>
      <c r="M319" s="2">
        <v>0</v>
      </c>
      <c r="N319" s="2">
        <v>3.8</v>
      </c>
      <c r="O319" s="2">
        <v>536845.42000000004</v>
      </c>
      <c r="P319" s="2">
        <v>107473.75</v>
      </c>
      <c r="Q319">
        <f t="shared" si="25"/>
        <v>1</v>
      </c>
      <c r="R319">
        <f t="shared" si="26"/>
        <v>0</v>
      </c>
      <c r="S319">
        <f t="shared" si="27"/>
        <v>0</v>
      </c>
      <c r="T319">
        <f t="shared" si="28"/>
        <v>0</v>
      </c>
      <c r="U319">
        <f t="shared" si="29"/>
        <v>0</v>
      </c>
    </row>
    <row r="320" spans="1:21" ht="40.5" customHeight="1">
      <c r="A320" s="2" t="s">
        <v>101</v>
      </c>
      <c r="B320" s="3">
        <v>45717</v>
      </c>
      <c r="C320" s="2" t="s">
        <v>15</v>
      </c>
      <c r="D320" s="2" t="s">
        <v>16</v>
      </c>
      <c r="E320" s="2">
        <v>81902.58</v>
      </c>
      <c r="F320" s="2">
        <v>7775</v>
      </c>
      <c r="G320" s="2">
        <v>0.215</v>
      </c>
      <c r="H320" s="2">
        <v>85.2</v>
      </c>
      <c r="I320">
        <f t="shared" si="24"/>
        <v>0</v>
      </c>
      <c r="J320" s="2">
        <v>20</v>
      </c>
      <c r="K320" s="2">
        <v>85.2</v>
      </c>
      <c r="L320" s="2">
        <v>4.8899999999999997</v>
      </c>
      <c r="M320" s="2">
        <v>1</v>
      </c>
      <c r="N320" s="2">
        <v>4.2</v>
      </c>
      <c r="O320" s="2">
        <v>726776.22</v>
      </c>
      <c r="P320" s="2">
        <v>90804.49</v>
      </c>
      <c r="Q320">
        <f t="shared" si="25"/>
        <v>1</v>
      </c>
      <c r="R320">
        <f t="shared" si="26"/>
        <v>0</v>
      </c>
      <c r="S320">
        <f t="shared" si="27"/>
        <v>0</v>
      </c>
      <c r="T320">
        <f t="shared" si="28"/>
        <v>0</v>
      </c>
      <c r="U320">
        <f t="shared" si="29"/>
        <v>0</v>
      </c>
    </row>
    <row r="321" spans="1:21" ht="40.5" customHeight="1">
      <c r="A321" s="2" t="s">
        <v>101</v>
      </c>
      <c r="B321" s="3">
        <v>45748</v>
      </c>
      <c r="C321" s="2" t="s">
        <v>15</v>
      </c>
      <c r="D321" s="2" t="s">
        <v>16</v>
      </c>
      <c r="E321" s="2">
        <v>40553.11</v>
      </c>
      <c r="F321" s="2">
        <v>5317</v>
      </c>
      <c r="G321" s="2">
        <v>0.16500000000000001</v>
      </c>
      <c r="H321" s="2">
        <v>84.3</v>
      </c>
      <c r="I321">
        <f t="shared" si="24"/>
        <v>0</v>
      </c>
      <c r="J321" s="2">
        <v>17</v>
      </c>
      <c r="K321" s="2">
        <v>84.3</v>
      </c>
      <c r="L321" s="2">
        <v>11.82</v>
      </c>
      <c r="M321" s="2">
        <v>0</v>
      </c>
      <c r="N321" s="2">
        <v>4.0999999999999996</v>
      </c>
      <c r="O321" s="2">
        <v>559660.84</v>
      </c>
      <c r="P321" s="2">
        <v>71443.61</v>
      </c>
      <c r="Q321">
        <f t="shared" si="25"/>
        <v>1</v>
      </c>
      <c r="R321">
        <f t="shared" si="26"/>
        <v>0</v>
      </c>
      <c r="S321">
        <f t="shared" si="27"/>
        <v>0</v>
      </c>
      <c r="T321">
        <f t="shared" si="28"/>
        <v>0</v>
      </c>
      <c r="U321">
        <f t="shared" si="29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C879C-508F-4A90-90EB-B1512BDC3E04}">
  <dimension ref="A1:I18"/>
  <sheetViews>
    <sheetView zoomScaleNormal="100" workbookViewId="0">
      <selection activeCell="E23" sqref="E23"/>
    </sheetView>
  </sheetViews>
  <sheetFormatPr defaultRowHeight="14.5"/>
  <cols>
    <col min="1" max="1" width="16.7265625" customWidth="1"/>
    <col min="2" max="2" width="16.36328125" customWidth="1"/>
    <col min="3" max="3" width="15.81640625" customWidth="1"/>
    <col min="6" max="6" width="15.1796875" customWidth="1"/>
    <col min="8" max="8" width="14.7265625" customWidth="1"/>
    <col min="9" max="9" width="13.54296875" customWidth="1"/>
  </cols>
  <sheetData>
    <row r="1" spans="1:9">
      <c r="A1" t="s">
        <v>110</v>
      </c>
    </row>
    <row r="2" spans="1:9" ht="15" thickBot="1"/>
    <row r="3" spans="1:9">
      <c r="A3" s="10" t="s">
        <v>111</v>
      </c>
      <c r="B3" s="10"/>
    </row>
    <row r="4" spans="1:9">
      <c r="A4" s="7" t="s">
        <v>112</v>
      </c>
      <c r="B4" s="7">
        <v>0.40895561021322352</v>
      </c>
    </row>
    <row r="5" spans="1:9">
      <c r="A5" s="7" t="s">
        <v>113</v>
      </c>
      <c r="B5" s="7">
        <v>0.16724469112487</v>
      </c>
    </row>
    <row r="6" spans="1:9">
      <c r="A6" s="7" t="s">
        <v>114</v>
      </c>
      <c r="B6" s="7">
        <v>0.16462596373847024</v>
      </c>
    </row>
    <row r="7" spans="1:9">
      <c r="A7" s="7" t="s">
        <v>115</v>
      </c>
      <c r="B7" s="7">
        <v>94846.03383215853</v>
      </c>
    </row>
    <row r="8" spans="1:9" ht="15" thickBot="1">
      <c r="A8" s="8" t="s">
        <v>116</v>
      </c>
      <c r="B8" s="8">
        <v>320</v>
      </c>
    </row>
    <row r="10" spans="1:9" ht="15" thickBot="1">
      <c r="A10" t="s">
        <v>117</v>
      </c>
    </row>
    <row r="11" spans="1:9">
      <c r="A11" s="9"/>
      <c r="B11" s="9" t="s">
        <v>122</v>
      </c>
      <c r="C11" s="9" t="s">
        <v>123</v>
      </c>
      <c r="D11" s="9" t="s">
        <v>124</v>
      </c>
      <c r="E11" s="9" t="s">
        <v>125</v>
      </c>
      <c r="F11" s="9" t="s">
        <v>126</v>
      </c>
    </row>
    <row r="12" spans="1:9">
      <c r="A12" s="7" t="s">
        <v>118</v>
      </c>
      <c r="B12" s="7">
        <v>1</v>
      </c>
      <c r="C12" s="7">
        <v>574513714277.01416</v>
      </c>
      <c r="D12" s="7">
        <v>574513714277.01416</v>
      </c>
      <c r="E12" s="7">
        <v>63.864872683367629</v>
      </c>
      <c r="F12" s="7">
        <v>2.4800615101359619E-14</v>
      </c>
    </row>
    <row r="13" spans="1:9">
      <c r="A13" s="7" t="s">
        <v>119</v>
      </c>
      <c r="B13" s="7">
        <v>318</v>
      </c>
      <c r="C13" s="7">
        <v>2860654902513.7251</v>
      </c>
      <c r="D13" s="7">
        <v>8995770133.6909599</v>
      </c>
      <c r="E13" s="7"/>
      <c r="F13" s="7"/>
    </row>
    <row r="14" spans="1:9" ht="15" thickBot="1">
      <c r="A14" s="8" t="s">
        <v>120</v>
      </c>
      <c r="B14" s="8">
        <v>319</v>
      </c>
      <c r="C14" s="8">
        <v>3435168616790.7393</v>
      </c>
      <c r="D14" s="8"/>
      <c r="E14" s="8"/>
      <c r="F14" s="8"/>
    </row>
    <row r="15" spans="1:9" ht="15" thickBot="1"/>
    <row r="16" spans="1:9">
      <c r="A16" s="9"/>
      <c r="B16" s="9" t="s">
        <v>127</v>
      </c>
      <c r="C16" s="9" t="s">
        <v>115</v>
      </c>
      <c r="D16" s="9" t="s">
        <v>128</v>
      </c>
      <c r="E16" s="9" t="s">
        <v>129</v>
      </c>
      <c r="F16" s="9" t="s">
        <v>130</v>
      </c>
      <c r="G16" s="9" t="s">
        <v>131</v>
      </c>
      <c r="H16" s="9" t="s">
        <v>132</v>
      </c>
      <c r="I16" s="9" t="s">
        <v>133</v>
      </c>
    </row>
    <row r="17" spans="1:9">
      <c r="A17" s="7" t="s">
        <v>121</v>
      </c>
      <c r="B17" s="7">
        <v>560777.34544943704</v>
      </c>
      <c r="C17" s="7">
        <v>15906.905953068674</v>
      </c>
      <c r="D17" s="7">
        <v>35.253703460870398</v>
      </c>
      <c r="E17" s="7">
        <v>6.952876876284135E-112</v>
      </c>
      <c r="F17" s="7">
        <v>529481.27234763221</v>
      </c>
      <c r="G17" s="7">
        <v>592073.41855124186</v>
      </c>
      <c r="H17" s="7">
        <v>529481.27234763221</v>
      </c>
      <c r="I17" s="7">
        <v>592073.41855124186</v>
      </c>
    </row>
    <row r="18" spans="1:9" ht="15" thickBot="1">
      <c r="A18" s="8" t="s">
        <v>4</v>
      </c>
      <c r="B18" s="8">
        <v>2.1295753275898281</v>
      </c>
      <c r="C18" s="8">
        <v>0.26647838106932348</v>
      </c>
      <c r="D18" s="8">
        <v>7.991550080138869</v>
      </c>
      <c r="E18" s="8">
        <v>2.4800615101360068E-14</v>
      </c>
      <c r="F18" s="8">
        <v>1.6052919176921738</v>
      </c>
      <c r="G18" s="8">
        <v>2.6538587374874822</v>
      </c>
      <c r="H18" s="8">
        <v>1.6052919176921738</v>
      </c>
      <c r="I18" s="8">
        <v>2.6538587374874822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ACF38-B5EC-441D-A3B1-71E857E12DAA}">
  <dimension ref="A1:I18"/>
  <sheetViews>
    <sheetView workbookViewId="0">
      <selection activeCell="G23" sqref="G23"/>
    </sheetView>
  </sheetViews>
  <sheetFormatPr defaultRowHeight="14.5"/>
  <cols>
    <col min="1" max="1" width="17.36328125" customWidth="1"/>
    <col min="2" max="2" width="18.1796875" customWidth="1"/>
    <col min="3" max="3" width="19.54296875" customWidth="1"/>
    <col min="6" max="6" width="20" customWidth="1"/>
    <col min="7" max="7" width="14.08984375" customWidth="1"/>
    <col min="8" max="8" width="15.90625" customWidth="1"/>
    <col min="9" max="9" width="13.36328125" customWidth="1"/>
  </cols>
  <sheetData>
    <row r="1" spans="1:9">
      <c r="A1" t="s">
        <v>110</v>
      </c>
    </row>
    <row r="2" spans="1:9" ht="15" thickBot="1"/>
    <row r="3" spans="1:9">
      <c r="A3" s="10" t="s">
        <v>111</v>
      </c>
      <c r="B3" s="10"/>
    </row>
    <row r="4" spans="1:9">
      <c r="A4" s="7" t="s">
        <v>112</v>
      </c>
      <c r="B4" s="7">
        <v>0.85807070804410468</v>
      </c>
    </row>
    <row r="5" spans="1:9">
      <c r="A5" s="7" t="s">
        <v>113</v>
      </c>
      <c r="B5" s="7">
        <v>0.73628534000331114</v>
      </c>
    </row>
    <row r="6" spans="1:9">
      <c r="A6" s="7" t="s">
        <v>114</v>
      </c>
      <c r="B6" s="7">
        <v>0.73545604861967373</v>
      </c>
    </row>
    <row r="7" spans="1:9">
      <c r="A7" s="7" t="s">
        <v>115</v>
      </c>
      <c r="B7" s="7">
        <v>53373.736380790499</v>
      </c>
    </row>
    <row r="8" spans="1:9" ht="15" thickBot="1">
      <c r="A8" s="8" t="s">
        <v>116</v>
      </c>
      <c r="B8" s="8">
        <v>320</v>
      </c>
    </row>
    <row r="10" spans="1:9" ht="15" thickBot="1">
      <c r="A10" t="s">
        <v>117</v>
      </c>
    </row>
    <row r="11" spans="1:9">
      <c r="A11" s="9"/>
      <c r="B11" s="9" t="s">
        <v>122</v>
      </c>
      <c r="C11" s="9" t="s">
        <v>123</v>
      </c>
      <c r="D11" s="9" t="s">
        <v>124</v>
      </c>
      <c r="E11" s="9" t="s">
        <v>125</v>
      </c>
      <c r="F11" s="9" t="s">
        <v>126</v>
      </c>
    </row>
    <row r="12" spans="1:9">
      <c r="A12" s="7" t="s">
        <v>118</v>
      </c>
      <c r="B12" s="7">
        <v>1</v>
      </c>
      <c r="C12" s="7">
        <v>2529264292982.4736</v>
      </c>
      <c r="D12" s="7">
        <v>2529264292982.4736</v>
      </c>
      <c r="E12" s="7">
        <v>887.84877611276033</v>
      </c>
      <c r="F12" s="7">
        <v>4.7503615090053331E-94</v>
      </c>
    </row>
    <row r="13" spans="1:9">
      <c r="A13" s="7" t="s">
        <v>119</v>
      </c>
      <c r="B13" s="7">
        <v>318</v>
      </c>
      <c r="C13" s="7">
        <v>905904323808.26587</v>
      </c>
      <c r="D13" s="7">
        <v>2848755735.246119</v>
      </c>
      <c r="E13" s="7"/>
      <c r="F13" s="7"/>
    </row>
    <row r="14" spans="1:9" ht="15" thickBot="1">
      <c r="A14" s="8" t="s">
        <v>120</v>
      </c>
      <c r="B14" s="8">
        <v>319</v>
      </c>
      <c r="C14" s="8">
        <v>3435168616790.7393</v>
      </c>
      <c r="D14" s="8"/>
      <c r="E14" s="8"/>
      <c r="F14" s="8"/>
    </row>
    <row r="15" spans="1:9" ht="15" thickBot="1"/>
    <row r="16" spans="1:9">
      <c r="A16" s="9"/>
      <c r="B16" s="9" t="s">
        <v>127</v>
      </c>
      <c r="C16" s="9" t="s">
        <v>115</v>
      </c>
      <c r="D16" s="9" t="s">
        <v>128</v>
      </c>
      <c r="E16" s="9" t="s">
        <v>129</v>
      </c>
      <c r="F16" s="9" t="s">
        <v>130</v>
      </c>
      <c r="G16" s="9" t="s">
        <v>131</v>
      </c>
      <c r="H16" s="9" t="s">
        <v>132</v>
      </c>
      <c r="I16" s="9" t="s">
        <v>133</v>
      </c>
    </row>
    <row r="17" spans="1:9">
      <c r="A17" s="7" t="s">
        <v>121</v>
      </c>
      <c r="B17" s="7">
        <v>446410.58293395344</v>
      </c>
      <c r="C17" s="7">
        <v>8407.7382630059928</v>
      </c>
      <c r="D17" s="7">
        <v>53.095204556754318</v>
      </c>
      <c r="E17" s="7">
        <v>4.0862695711507226E-160</v>
      </c>
      <c r="F17" s="7">
        <v>429868.76191129786</v>
      </c>
      <c r="G17" s="7">
        <v>462952.40395660902</v>
      </c>
      <c r="H17" s="7">
        <v>429868.76191129786</v>
      </c>
      <c r="I17" s="7">
        <v>462952.40395660902</v>
      </c>
    </row>
    <row r="18" spans="1:9" ht="15" thickBot="1">
      <c r="A18" s="8" t="s">
        <v>5</v>
      </c>
      <c r="B18" s="8">
        <v>35.678031072640458</v>
      </c>
      <c r="C18" s="8">
        <v>1.1973782890340821</v>
      </c>
      <c r="D18" s="8">
        <v>29.796791372776362</v>
      </c>
      <c r="E18" s="8">
        <v>4.7503615090054677E-94</v>
      </c>
      <c r="F18" s="8">
        <v>33.322246825554025</v>
      </c>
      <c r="G18" s="8">
        <v>38.033815319726891</v>
      </c>
      <c r="H18" s="8">
        <v>33.322246825554025</v>
      </c>
      <c r="I18" s="8">
        <v>38.033815319726891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8BB7-EFD9-42ED-8EB7-7E17D568CCEA}">
  <dimension ref="A1:I22"/>
  <sheetViews>
    <sheetView workbookViewId="0">
      <selection activeCell="M19" sqref="M19"/>
    </sheetView>
  </sheetViews>
  <sheetFormatPr defaultRowHeight="14.5"/>
  <cols>
    <col min="1" max="1" width="21.36328125" customWidth="1"/>
    <col min="2" max="2" width="13.26953125" customWidth="1"/>
    <col min="3" max="3" width="17.54296875" customWidth="1"/>
    <col min="6" max="6" width="11.26953125" customWidth="1"/>
    <col min="8" max="8" width="12.54296875" customWidth="1"/>
    <col min="9" max="9" width="13.08984375" customWidth="1"/>
  </cols>
  <sheetData>
    <row r="1" spans="1:9">
      <c r="A1" t="s">
        <v>110</v>
      </c>
    </row>
    <row r="2" spans="1:9" ht="15" thickBot="1"/>
    <row r="3" spans="1:9">
      <c r="A3" s="10" t="s">
        <v>111</v>
      </c>
      <c r="B3" s="10"/>
    </row>
    <row r="4" spans="1:9">
      <c r="A4" s="7" t="s">
        <v>112</v>
      </c>
      <c r="B4" s="7">
        <v>0.89818306048834506</v>
      </c>
    </row>
    <row r="5" spans="1:9">
      <c r="A5" s="7" t="s">
        <v>113</v>
      </c>
      <c r="B5" s="7">
        <v>0.80673281014821019</v>
      </c>
    </row>
    <row r="6" spans="1:9">
      <c r="A6" s="7" t="s">
        <v>114</v>
      </c>
      <c r="B6" s="7">
        <v>0.80365530712509259</v>
      </c>
    </row>
    <row r="7" spans="1:9">
      <c r="A7" s="7" t="s">
        <v>115</v>
      </c>
      <c r="B7" s="7">
        <v>45982.0438934427</v>
      </c>
    </row>
    <row r="8" spans="1:9" ht="15" thickBot="1">
      <c r="A8" s="8" t="s">
        <v>116</v>
      </c>
      <c r="B8" s="8">
        <v>320</v>
      </c>
    </row>
    <row r="10" spans="1:9" ht="15" thickBot="1">
      <c r="A10" t="s">
        <v>117</v>
      </c>
    </row>
    <row r="11" spans="1:9">
      <c r="A11" s="9"/>
      <c r="B11" s="9" t="s">
        <v>122</v>
      </c>
      <c r="C11" s="9" t="s">
        <v>123</v>
      </c>
      <c r="D11" s="9" t="s">
        <v>124</v>
      </c>
      <c r="E11" s="9" t="s">
        <v>125</v>
      </c>
      <c r="F11" s="9" t="s">
        <v>126</v>
      </c>
    </row>
    <row r="12" spans="1:9">
      <c r="A12" s="7" t="s">
        <v>118</v>
      </c>
      <c r="B12" s="7">
        <v>5</v>
      </c>
      <c r="C12" s="7">
        <v>2771263231556.5332</v>
      </c>
      <c r="D12" s="7">
        <v>554252646311.30664</v>
      </c>
      <c r="E12" s="7">
        <v>262.13875472685874</v>
      </c>
      <c r="F12" s="7">
        <v>9.1893901717142628E-110</v>
      </c>
    </row>
    <row r="13" spans="1:9">
      <c r="A13" s="7" t="s">
        <v>119</v>
      </c>
      <c r="B13" s="7">
        <v>314</v>
      </c>
      <c r="C13" s="7">
        <v>663905385234.2063</v>
      </c>
      <c r="D13" s="7">
        <v>2114348360.6184914</v>
      </c>
      <c r="E13" s="7"/>
      <c r="F13" s="7"/>
    </row>
    <row r="14" spans="1:9" ht="15" thickBot="1">
      <c r="A14" s="8" t="s">
        <v>120</v>
      </c>
      <c r="B14" s="8">
        <v>319</v>
      </c>
      <c r="C14" s="8">
        <v>3435168616790.7393</v>
      </c>
      <c r="D14" s="8"/>
      <c r="E14" s="8"/>
      <c r="F14" s="8"/>
    </row>
    <row r="15" spans="1:9" ht="15" thickBot="1"/>
    <row r="16" spans="1:9">
      <c r="A16" s="9"/>
      <c r="B16" s="9" t="s">
        <v>127</v>
      </c>
      <c r="C16" s="9" t="s">
        <v>115</v>
      </c>
      <c r="D16" s="9" t="s">
        <v>128</v>
      </c>
      <c r="E16" s="9" t="s">
        <v>129</v>
      </c>
      <c r="F16" s="9" t="s">
        <v>130</v>
      </c>
      <c r="G16" s="9" t="s">
        <v>131</v>
      </c>
      <c r="H16" s="9" t="s">
        <v>132</v>
      </c>
      <c r="I16" s="9" t="s">
        <v>133</v>
      </c>
    </row>
    <row r="17" spans="1:9">
      <c r="A17" s="7" t="s">
        <v>121</v>
      </c>
      <c r="B17" s="7">
        <v>151399.35005026241</v>
      </c>
      <c r="C17" s="7">
        <v>44752.375545932002</v>
      </c>
      <c r="D17" s="7">
        <v>3.3830461110354317</v>
      </c>
      <c r="E17" s="7">
        <v>8.0767051082640843E-4</v>
      </c>
      <c r="F17" s="7">
        <v>63346.916561007878</v>
      </c>
      <c r="G17" s="7">
        <v>239451.78353951694</v>
      </c>
      <c r="H17" s="7">
        <v>63346.916561007878</v>
      </c>
      <c r="I17" s="7">
        <v>239451.78353951694</v>
      </c>
    </row>
    <row r="18" spans="1:9">
      <c r="A18" s="7" t="s">
        <v>4</v>
      </c>
      <c r="B18" s="7">
        <v>1.1629255429382888</v>
      </c>
      <c r="C18" s="7">
        <v>0.13324106554954437</v>
      </c>
      <c r="D18" s="7">
        <v>8.727981408298378</v>
      </c>
      <c r="E18" s="7">
        <v>1.5563690638238559E-16</v>
      </c>
      <c r="F18" s="7">
        <v>0.90076739112582893</v>
      </c>
      <c r="G18" s="7">
        <v>1.4250836947507486</v>
      </c>
      <c r="H18" s="7">
        <v>0.90076739112582893</v>
      </c>
      <c r="I18" s="7">
        <v>1.4250836947507486</v>
      </c>
    </row>
    <row r="19" spans="1:9">
      <c r="A19" s="7" t="s">
        <v>5</v>
      </c>
      <c r="B19" s="7">
        <v>33.641173076722993</v>
      </c>
      <c r="C19" s="7">
        <v>1.0643354066531121</v>
      </c>
      <c r="D19" s="7">
        <v>31.60768012266956</v>
      </c>
      <c r="E19" s="7">
        <v>1.4457019530085277E-99</v>
      </c>
      <c r="F19" s="7">
        <v>31.547042397371811</v>
      </c>
      <c r="G19" s="7">
        <v>35.735303756074174</v>
      </c>
      <c r="H19" s="7">
        <v>31.547042397371811</v>
      </c>
      <c r="I19" s="7">
        <v>35.735303756074174</v>
      </c>
    </row>
    <row r="20" spans="1:9">
      <c r="A20" s="7" t="s">
        <v>6</v>
      </c>
      <c r="B20" s="7">
        <v>-70986.27418614144</v>
      </c>
      <c r="C20" s="7">
        <v>38064.312117178641</v>
      </c>
      <c r="D20" s="7">
        <v>-1.8649036390731184</v>
      </c>
      <c r="E20" s="7">
        <v>6.3127599941507018E-2</v>
      </c>
      <c r="F20" s="7">
        <v>-145879.62387150276</v>
      </c>
      <c r="G20" s="7">
        <v>3907.0754992198636</v>
      </c>
      <c r="H20" s="7">
        <v>-145879.62387150276</v>
      </c>
      <c r="I20" s="7">
        <v>3907.0754992198636</v>
      </c>
    </row>
    <row r="21" spans="1:9">
      <c r="A21" s="7" t="s">
        <v>8</v>
      </c>
      <c r="B21" s="7">
        <v>2851.7290432390455</v>
      </c>
      <c r="C21" s="7">
        <v>482.99675384831954</v>
      </c>
      <c r="D21" s="7">
        <v>5.9042405989639493</v>
      </c>
      <c r="E21" s="7">
        <v>9.1916637478958163E-9</v>
      </c>
      <c r="F21" s="7">
        <v>1901.4098920220349</v>
      </c>
      <c r="G21" s="7">
        <v>3802.0481944560561</v>
      </c>
      <c r="H21" s="7">
        <v>1901.4098920220349</v>
      </c>
      <c r="I21" s="7">
        <v>3802.0481944560561</v>
      </c>
    </row>
    <row r="22" spans="1:9" ht="15" thickBot="1">
      <c r="A22" s="8" t="s">
        <v>105</v>
      </c>
      <c r="B22" s="8">
        <v>-217.03774654781068</v>
      </c>
      <c r="C22" s="8">
        <v>6462.6781318419453</v>
      </c>
      <c r="D22" s="8">
        <v>-3.358325172941147E-2</v>
      </c>
      <c r="E22" s="8">
        <v>0.97323081544437384</v>
      </c>
      <c r="F22" s="8">
        <v>-12932.665228320668</v>
      </c>
      <c r="G22" s="8">
        <v>12498.589735225047</v>
      </c>
      <c r="H22" s="8">
        <v>-12932.665228320668</v>
      </c>
      <c r="I22" s="8">
        <v>12498.589735225047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3244-DDCF-4F55-904B-8A681BCE099F}">
  <dimension ref="A1:C321"/>
  <sheetViews>
    <sheetView zoomScale="115" zoomScaleNormal="115" workbookViewId="0">
      <selection activeCell="N15" sqref="N15"/>
    </sheetView>
  </sheetViews>
  <sheetFormatPr defaultRowHeight="14.5"/>
  <sheetData>
    <row r="1" spans="1:3" ht="29">
      <c r="A1" s="11" t="s">
        <v>151</v>
      </c>
      <c r="B1" s="11" t="s">
        <v>152</v>
      </c>
      <c r="C1" s="11" t="s">
        <v>119</v>
      </c>
    </row>
    <row r="2" spans="1:3">
      <c r="A2" s="2">
        <v>685379.08</v>
      </c>
      <c r="B2">
        <f>151399.3501+(1.162925543*Dummy_Variables!E68)+(33.64117308*Dummy_Variables!F68)-(70986.27419*Dummy_Variables!G68)+(2851.729043*Dummy_Variables!H68)-(217.0377465*Dummy_Variables!I68)</f>
        <v>842650.74623129214</v>
      </c>
      <c r="C2">
        <f t="shared" ref="C2:C65" si="0">A2-B2</f>
        <v>-157271.66623129218</v>
      </c>
    </row>
    <row r="3" spans="1:3">
      <c r="A3" s="2">
        <v>595467.6</v>
      </c>
      <c r="B3">
        <f>151399.3501+(1.162925543*Dummy_Variables!E46)+(33.64117308*Dummy_Variables!F46)-(70986.27419*Dummy_Variables!G46)+(2851.729043*Dummy_Variables!H46)-(217.0377465*Dummy_Variables!I46)</f>
        <v>733225.13010309194</v>
      </c>
      <c r="C3">
        <f t="shared" si="0"/>
        <v>-137757.53010309197</v>
      </c>
    </row>
    <row r="4" spans="1:3">
      <c r="A4" s="2">
        <v>627171.9</v>
      </c>
      <c r="B4">
        <f>151399.3501+(1.162925543*Dummy_Variables!E91)+(33.64117308*Dummy_Variables!F91)-(70986.27419*Dummy_Variables!G91)+(2851.729043*Dummy_Variables!H91)-(217.0377465*Dummy_Variables!I91)</f>
        <v>744840.10851315747</v>
      </c>
      <c r="C4">
        <f t="shared" si="0"/>
        <v>-117668.20851315744</v>
      </c>
    </row>
    <row r="5" spans="1:3">
      <c r="A5" s="2">
        <v>641865.03</v>
      </c>
      <c r="B5">
        <f>151399.3501+(1.162925543*Dummy_Variables!E34)+(33.64117308*Dummy_Variables!F34)-(70986.27419*Dummy_Variables!G34)+(2851.729043*Dummy_Variables!H34)-(217.0377465*Dummy_Variables!I34)</f>
        <v>756081.75415837159</v>
      </c>
      <c r="C5">
        <f t="shared" si="0"/>
        <v>-114216.72415837157</v>
      </c>
    </row>
    <row r="6" spans="1:3">
      <c r="A6" s="2">
        <v>658920.30000000005</v>
      </c>
      <c r="B6">
        <f>151399.3501+(1.162925543*Dummy_Variables!E5)+(33.64117308*Dummy_Variables!F5)-(70986.27419*Dummy_Variables!G5)+(2851.729043*Dummy_Variables!H5)-(217.0377465*Dummy_Variables!I5)</f>
        <v>772524.48363510007</v>
      </c>
      <c r="C6">
        <f t="shared" si="0"/>
        <v>-113604.18363510002</v>
      </c>
    </row>
    <row r="7" spans="1:3">
      <c r="A7" s="2">
        <v>538376</v>
      </c>
      <c r="B7">
        <f>151399.3501+(1.162925543*Dummy_Variables!E307)+(33.64117308*Dummy_Variables!F307)-(70986.27419*Dummy_Variables!G307)+(2851.729043*Dummy_Variables!H307)-(217.0377465*Dummy_Variables!I307)</f>
        <v>644796.25881549832</v>
      </c>
      <c r="C7">
        <f t="shared" si="0"/>
        <v>-106420.25881549832</v>
      </c>
    </row>
    <row r="8" spans="1:3">
      <c r="A8" s="2">
        <v>463534.25</v>
      </c>
      <c r="B8">
        <f>151399.3501+(1.162925543*Dummy_Variables!E54)+(33.64117308*Dummy_Variables!F54)-(70986.27419*Dummy_Variables!G54)+(2851.729043*Dummy_Variables!H54)-(217.0377465*Dummy_Variables!I54)</f>
        <v>557586.7417075847</v>
      </c>
      <c r="C8">
        <f t="shared" si="0"/>
        <v>-94052.491707584704</v>
      </c>
    </row>
    <row r="9" spans="1:3">
      <c r="A9" s="2">
        <v>415721.82</v>
      </c>
      <c r="B9">
        <f>151399.3501+(1.162925543*Dummy_Variables!E22)+(33.64117308*Dummy_Variables!F22)-(70986.27419*Dummy_Variables!G22)+(2851.729043*Dummy_Variables!H22)-(217.0377465*Dummy_Variables!I22)</f>
        <v>506848.58969623002</v>
      </c>
      <c r="C9">
        <f t="shared" si="0"/>
        <v>-91126.769696230011</v>
      </c>
    </row>
    <row r="10" spans="1:3">
      <c r="A10" s="2">
        <v>678722.06</v>
      </c>
      <c r="B10">
        <f>151399.3501+(1.162925543*Dummy_Variables!E4)+(33.64117308*Dummy_Variables!F4)-(70986.27419*Dummy_Variables!G4)+(2851.729043*Dummy_Variables!H4)-(217.0377465*Dummy_Variables!I4)</f>
        <v>769166.87535103015</v>
      </c>
      <c r="C10">
        <f t="shared" si="0"/>
        <v>-90444.815351030091</v>
      </c>
    </row>
    <row r="11" spans="1:3">
      <c r="A11" s="2">
        <v>800451.94</v>
      </c>
      <c r="B11">
        <f>151399.3501+(1.162925543*Dummy_Variables!E27)+(33.64117308*Dummy_Variables!F27)-(70986.27419*Dummy_Variables!G27)+(2851.729043*Dummy_Variables!H27)-(217.0377465*Dummy_Variables!I27)</f>
        <v>888101.47952278738</v>
      </c>
      <c r="C11">
        <f t="shared" si="0"/>
        <v>-87649.53952278744</v>
      </c>
    </row>
    <row r="12" spans="1:3">
      <c r="A12" s="2">
        <v>511844.41</v>
      </c>
      <c r="B12">
        <f>151399.3501+(1.162925543*Dummy_Variables!E30)+(33.64117308*Dummy_Variables!F30)-(70986.27419*Dummy_Variables!G30)+(2851.729043*Dummy_Variables!H30)-(217.0377465*Dummy_Variables!I30)</f>
        <v>598932.43226211658</v>
      </c>
      <c r="C12">
        <f t="shared" si="0"/>
        <v>-87088.022262116603</v>
      </c>
    </row>
    <row r="13" spans="1:3">
      <c r="A13" s="2">
        <v>633638.03</v>
      </c>
      <c r="B13">
        <f>151399.3501+(1.162925543*Dummy_Variables!E138)+(33.64117308*Dummy_Variables!F138)-(70986.27419*Dummy_Variables!G138)+(2851.729043*Dummy_Variables!H138)-(217.0377465*Dummy_Variables!I138)</f>
        <v>719014.23770983831</v>
      </c>
      <c r="C13">
        <f t="shared" si="0"/>
        <v>-85376.207709838287</v>
      </c>
    </row>
    <row r="14" spans="1:3">
      <c r="A14" s="2">
        <v>593637.14</v>
      </c>
      <c r="B14">
        <f>151399.3501+(1.162925543*Dummy_Variables!E171)+(33.64117308*Dummy_Variables!F171)-(70986.27419*Dummy_Variables!G171)+(2851.729043*Dummy_Variables!H171)-(217.0377465*Dummy_Variables!I171)</f>
        <v>677251.70420869265</v>
      </c>
      <c r="C14">
        <f t="shared" si="0"/>
        <v>-83614.564208692638</v>
      </c>
    </row>
    <row r="15" spans="1:3">
      <c r="A15" s="2">
        <v>449465.06</v>
      </c>
      <c r="B15">
        <f>151399.3501+(1.162925543*Dummy_Variables!E197)+(33.64117308*Dummy_Variables!F197)-(70986.27419*Dummy_Variables!G197)+(2851.729043*Dummy_Variables!H197)-(217.0377465*Dummy_Variables!I197)</f>
        <v>532590.96480558859</v>
      </c>
      <c r="C15">
        <f t="shared" si="0"/>
        <v>-83125.904805588594</v>
      </c>
    </row>
    <row r="16" spans="1:3">
      <c r="A16" s="2">
        <v>634436</v>
      </c>
      <c r="B16">
        <f>151399.3501+(1.162925543*Dummy_Variables!E3)+(33.64117308*Dummy_Variables!F3)-(70986.27419*Dummy_Variables!G3)+(2851.729043*Dummy_Variables!H3)-(217.0377465*Dummy_Variables!I3)</f>
        <v>716640.79597203434</v>
      </c>
      <c r="C16">
        <f t="shared" si="0"/>
        <v>-82204.795972034335</v>
      </c>
    </row>
    <row r="17" spans="1:3">
      <c r="A17" s="2">
        <v>427917.38</v>
      </c>
      <c r="B17">
        <f>151399.3501+(1.162925543*Dummy_Variables!E33)+(33.64117308*Dummy_Variables!F33)-(70986.27419*Dummy_Variables!G33)+(2851.729043*Dummy_Variables!H33)-(217.0377465*Dummy_Variables!I33)</f>
        <v>509700.89279648801</v>
      </c>
      <c r="C17">
        <f t="shared" si="0"/>
        <v>-81783.512796488008</v>
      </c>
    </row>
    <row r="18" spans="1:3">
      <c r="A18" s="2">
        <v>691288.19</v>
      </c>
      <c r="B18">
        <f>151399.3501+(1.162925543*Dummy_Variables!E211)+(33.64117308*Dummy_Variables!F211)-(70986.27419*Dummy_Variables!G211)+(2851.729043*Dummy_Variables!H211)-(217.0377465*Dummy_Variables!I211)</f>
        <v>772756.5220090372</v>
      </c>
      <c r="C18">
        <f t="shared" si="0"/>
        <v>-81468.332009037258</v>
      </c>
    </row>
    <row r="19" spans="1:3">
      <c r="A19" s="2">
        <v>660633.99</v>
      </c>
      <c r="B19">
        <f>151399.3501+(1.162925543*Dummy_Variables!E270)+(33.64117308*Dummy_Variables!F270)-(70986.27419*Dummy_Variables!G270)+(2851.729043*Dummy_Variables!H270)-(217.0377465*Dummy_Variables!I270)</f>
        <v>742078.63282055559</v>
      </c>
      <c r="C19">
        <f t="shared" si="0"/>
        <v>-81444.6428205556</v>
      </c>
    </row>
    <row r="20" spans="1:3">
      <c r="A20" s="2">
        <v>593343</v>
      </c>
      <c r="B20">
        <f>151399.3501+(1.162925543*Dummy_Variables!E273)+(33.64117308*Dummy_Variables!F273)-(70986.27419*Dummy_Variables!G273)+(2851.729043*Dummy_Variables!H273)-(217.0377465*Dummy_Variables!I273)</f>
        <v>673957.06057973695</v>
      </c>
      <c r="C20">
        <f t="shared" si="0"/>
        <v>-80614.06057973695</v>
      </c>
    </row>
    <row r="21" spans="1:3">
      <c r="A21" s="2">
        <v>675917.63</v>
      </c>
      <c r="B21">
        <f>151399.3501+(1.162925543*Dummy_Variables!E209)+(33.64117308*Dummy_Variables!F209)-(70986.27419*Dummy_Variables!G209)+(2851.729043*Dummy_Variables!H209)-(217.0377465*Dummy_Variables!I209)</f>
        <v>755014.52468745969</v>
      </c>
      <c r="C21">
        <f t="shared" si="0"/>
        <v>-79096.894687459688</v>
      </c>
    </row>
    <row r="22" spans="1:3">
      <c r="A22" s="2">
        <v>673076.34</v>
      </c>
      <c r="B22">
        <f>151399.3501+(1.162925543*Dummy_Variables!E278)+(33.64117308*Dummy_Variables!F278)-(70986.27419*Dummy_Variables!G278)+(2851.729043*Dummy_Variables!H278)-(217.0377465*Dummy_Variables!I278)</f>
        <v>751365.57874114183</v>
      </c>
      <c r="C22">
        <f t="shared" si="0"/>
        <v>-78289.23874114186</v>
      </c>
    </row>
    <row r="23" spans="1:3">
      <c r="A23" s="2">
        <v>630829.93999999994</v>
      </c>
      <c r="B23">
        <f>151399.3501+(1.162925543*Dummy_Variables!E75)+(33.64117308*Dummy_Variables!F75)-(70986.27419*Dummy_Variables!G75)+(2851.729043*Dummy_Variables!H75)-(217.0377465*Dummy_Variables!I75)</f>
        <v>708476.53798420553</v>
      </c>
      <c r="C23">
        <f t="shared" si="0"/>
        <v>-77646.597984205582</v>
      </c>
    </row>
    <row r="24" spans="1:3">
      <c r="A24" s="2">
        <v>401582.58</v>
      </c>
      <c r="B24">
        <f>151399.3501+(1.162925543*Dummy_Variables!E301)+(33.64117308*Dummy_Variables!F301)-(70986.27419*Dummy_Variables!G301)+(2851.729043*Dummy_Variables!H301)-(217.0377465*Dummy_Variables!I301)</f>
        <v>475269.08634822816</v>
      </c>
      <c r="C24">
        <f t="shared" si="0"/>
        <v>-73686.50634822814</v>
      </c>
    </row>
    <row r="25" spans="1:3">
      <c r="A25" s="2">
        <v>684217.32</v>
      </c>
      <c r="B25">
        <f>151399.3501+(1.162925543*Dummy_Variables!E120)+(33.64117308*Dummy_Variables!F120)-(70986.27419*Dummy_Variables!G120)+(2851.729043*Dummy_Variables!H120)-(217.0377465*Dummy_Variables!I120)</f>
        <v>753685.24573344016</v>
      </c>
      <c r="C25">
        <f t="shared" si="0"/>
        <v>-69467.925733440206</v>
      </c>
    </row>
    <row r="26" spans="1:3">
      <c r="A26" s="2">
        <v>799477.76000000001</v>
      </c>
      <c r="B26">
        <f>151399.3501+(1.162925543*Dummy_Variables!E35)+(33.64117308*Dummy_Variables!F35)-(70986.27419*Dummy_Variables!G35)+(2851.729043*Dummy_Variables!H35)-(217.0377465*Dummy_Variables!I35)</f>
        <v>866979.48076779721</v>
      </c>
      <c r="C26">
        <f t="shared" si="0"/>
        <v>-67501.720767797204</v>
      </c>
    </row>
    <row r="27" spans="1:3">
      <c r="A27" s="2">
        <v>725235.28</v>
      </c>
      <c r="B27">
        <f>151399.3501+(1.162925543*Dummy_Variables!E132)+(33.64117308*Dummy_Variables!F132)-(70986.27419*Dummy_Variables!G132)+(2851.729043*Dummy_Variables!H132)-(217.0377465*Dummy_Variables!I132)</f>
        <v>791265.71477375703</v>
      </c>
      <c r="C27">
        <f t="shared" si="0"/>
        <v>-66030.434773757006</v>
      </c>
    </row>
    <row r="28" spans="1:3">
      <c r="A28" s="2">
        <v>658832.62</v>
      </c>
      <c r="B28">
        <f>151399.3501+(1.162925543*Dummy_Variables!E2)+(33.64117308*Dummy_Variables!F2)-(70986.27419*Dummy_Variables!G2)+(2851.729043*Dummy_Variables!H2)-(217.0377465*Dummy_Variables!I2)</f>
        <v>723443.91768721677</v>
      </c>
      <c r="C28">
        <f t="shared" si="0"/>
        <v>-64611.297687216778</v>
      </c>
    </row>
    <row r="29" spans="1:3">
      <c r="A29" s="2">
        <v>570963.31000000006</v>
      </c>
      <c r="B29">
        <f>151399.3501+(1.162925543*Dummy_Variables!E230)+(33.64117308*Dummy_Variables!F230)-(70986.27419*Dummy_Variables!G230)+(2851.729043*Dummy_Variables!H230)-(217.0377465*Dummy_Variables!I230)</f>
        <v>635128.61790357693</v>
      </c>
      <c r="C29">
        <f t="shared" si="0"/>
        <v>-64165.307903576875</v>
      </c>
    </row>
    <row r="30" spans="1:3">
      <c r="A30" s="2">
        <v>721079.35</v>
      </c>
      <c r="B30">
        <f>151399.3501+(1.162925543*Dummy_Variables!E238)+(33.64117308*Dummy_Variables!F238)-(70986.27419*Dummy_Variables!G238)+(2851.729043*Dummy_Variables!H238)-(217.0377465*Dummy_Variables!I238)</f>
        <v>785142.01853585232</v>
      </c>
      <c r="C30">
        <f t="shared" si="0"/>
        <v>-64062.668535852339</v>
      </c>
    </row>
    <row r="31" spans="1:3">
      <c r="A31" s="2">
        <v>651164.18000000005</v>
      </c>
      <c r="B31">
        <f>151399.3501+(1.162925543*Dummy_Variables!E309)+(33.64117308*Dummy_Variables!F309)-(70986.27419*Dummy_Variables!G309)+(2851.729043*Dummy_Variables!H309)-(217.0377465*Dummy_Variables!I309)</f>
        <v>714237.45312935906</v>
      </c>
      <c r="C31">
        <f t="shared" si="0"/>
        <v>-63073.273129359004</v>
      </c>
    </row>
    <row r="32" spans="1:3">
      <c r="A32" s="2">
        <v>671868.59</v>
      </c>
      <c r="B32">
        <f>151399.3501+(1.162925543*Dummy_Variables!E208)+(33.64117308*Dummy_Variables!F208)-(70986.27419*Dummy_Variables!G208)+(2851.729043*Dummy_Variables!H208)-(217.0377465*Dummy_Variables!I208)</f>
        <v>734549.06924863905</v>
      </c>
      <c r="C32">
        <f t="shared" si="0"/>
        <v>-62680.47924863908</v>
      </c>
    </row>
    <row r="33" spans="1:3">
      <c r="A33" s="2">
        <v>620264.19999999995</v>
      </c>
      <c r="B33">
        <f>151399.3501+(1.162925543*Dummy_Variables!E318)+(33.64117308*Dummy_Variables!F318)-(70986.27419*Dummy_Variables!G318)+(2851.729043*Dummy_Variables!H318)-(217.0377465*Dummy_Variables!I318)</f>
        <v>682772.69117133575</v>
      </c>
      <c r="C33">
        <f t="shared" si="0"/>
        <v>-62508.491171335801</v>
      </c>
    </row>
    <row r="34" spans="1:3">
      <c r="A34" s="2">
        <v>441275.42</v>
      </c>
      <c r="B34">
        <f>151399.3501+(1.162925543*Dummy_Variables!E125)+(33.64117308*Dummy_Variables!F125)-(70986.27419*Dummy_Variables!G125)+(2851.729043*Dummy_Variables!H125)-(217.0377465*Dummy_Variables!I125)</f>
        <v>501037.86125480966</v>
      </c>
      <c r="C34">
        <f t="shared" si="0"/>
        <v>-59762.441254809673</v>
      </c>
    </row>
    <row r="35" spans="1:3">
      <c r="A35" s="2">
        <v>726606.28</v>
      </c>
      <c r="B35">
        <f>151399.3501+(1.162925543*Dummy_Variables!E15)+(33.64117308*Dummy_Variables!F15)-(70986.27419*Dummy_Variables!G15)+(2851.729043*Dummy_Variables!H15)-(217.0377465*Dummy_Variables!I15)</f>
        <v>786170.01711801323</v>
      </c>
      <c r="C35">
        <f t="shared" si="0"/>
        <v>-59563.737118013203</v>
      </c>
    </row>
    <row r="36" spans="1:3">
      <c r="A36" s="2">
        <v>400831.65</v>
      </c>
      <c r="B36">
        <f>151399.3501+(1.162925543*Dummy_Variables!E135)+(33.64117308*Dummy_Variables!F135)-(70986.27419*Dummy_Variables!G135)+(2851.729043*Dummy_Variables!H135)-(217.0377465*Dummy_Variables!I135)</f>
        <v>455236.98989858048</v>
      </c>
      <c r="C36">
        <f t="shared" si="0"/>
        <v>-54405.339898580452</v>
      </c>
    </row>
    <row r="37" spans="1:3">
      <c r="A37" s="2">
        <v>527300.13</v>
      </c>
      <c r="B37">
        <f>151399.3501+(1.162925543*Dummy_Variables!E134)+(33.64117308*Dummy_Variables!F134)-(70986.27419*Dummy_Variables!G134)+(2851.729043*Dummy_Variables!H134)-(217.0377465*Dummy_Variables!I134)</f>
        <v>580337.55033365008</v>
      </c>
      <c r="C37">
        <f t="shared" si="0"/>
        <v>-53037.42033365008</v>
      </c>
    </row>
    <row r="38" spans="1:3">
      <c r="A38" s="2">
        <v>509484.81</v>
      </c>
      <c r="B38">
        <f>151399.3501+(1.162925543*Dummy_Variables!E122)+(33.64117308*Dummy_Variables!F122)-(70986.27419*Dummy_Variables!G122)+(2851.729043*Dummy_Variables!H122)-(217.0377465*Dummy_Variables!I122)</f>
        <v>562296.40148686862</v>
      </c>
      <c r="C38">
        <f t="shared" si="0"/>
        <v>-52811.591486868623</v>
      </c>
    </row>
    <row r="39" spans="1:3">
      <c r="A39" s="2">
        <v>553756.43000000005</v>
      </c>
      <c r="B39">
        <f>151399.3501+(1.162925543*Dummy_Variables!E61)+(33.64117308*Dummy_Variables!F61)-(70986.27419*Dummy_Variables!G61)+(2851.729043*Dummy_Variables!H61)-(217.0377465*Dummy_Variables!I61)</f>
        <v>606358.59355948109</v>
      </c>
      <c r="C39">
        <f t="shared" si="0"/>
        <v>-52602.163559481036</v>
      </c>
    </row>
    <row r="40" spans="1:3">
      <c r="A40" s="2">
        <v>643428.85</v>
      </c>
      <c r="B40">
        <f>151399.3501+(1.162925543*Dummy_Variables!E194)+(33.64117308*Dummy_Variables!F194)-(70986.27419*Dummy_Variables!G194)+(2851.729043*Dummy_Variables!H194)-(217.0377465*Dummy_Variables!I194)</f>
        <v>693349.62840782991</v>
      </c>
      <c r="C40">
        <f t="shared" si="0"/>
        <v>-49920.77840782993</v>
      </c>
    </row>
    <row r="41" spans="1:3">
      <c r="A41" s="2">
        <v>554012.06999999995</v>
      </c>
      <c r="B41">
        <f>151399.3501+(1.162925543*Dummy_Variables!E193)+(33.64117308*Dummy_Variables!F193)-(70986.27419*Dummy_Variables!G193)+(2851.729043*Dummy_Variables!H193)-(217.0377465*Dummy_Variables!I193)</f>
        <v>603860.75247073569</v>
      </c>
      <c r="C41">
        <f t="shared" si="0"/>
        <v>-49848.682470735745</v>
      </c>
    </row>
    <row r="42" spans="1:3">
      <c r="A42" s="2">
        <v>741341.44</v>
      </c>
      <c r="B42">
        <f>151399.3501+(1.162925543*Dummy_Variables!E6)+(33.64117308*Dummy_Variables!F6)-(70986.27419*Dummy_Variables!G6)+(2851.729043*Dummy_Variables!H6)-(217.0377465*Dummy_Variables!I6)</f>
        <v>790735.56806757348</v>
      </c>
      <c r="C42">
        <f t="shared" si="0"/>
        <v>-49394.128067573532</v>
      </c>
    </row>
    <row r="43" spans="1:3">
      <c r="A43" s="2">
        <v>524899.56999999995</v>
      </c>
      <c r="B43">
        <f>151399.3501+(1.162925543*Dummy_Variables!E282)+(33.64117308*Dummy_Variables!F282)-(70986.27419*Dummy_Variables!G282)+(2851.729043*Dummy_Variables!H282)-(217.0377465*Dummy_Variables!I282)</f>
        <v>571924.85886403173</v>
      </c>
      <c r="C43">
        <f t="shared" si="0"/>
        <v>-47025.288864031783</v>
      </c>
    </row>
    <row r="44" spans="1:3">
      <c r="A44" s="2">
        <v>723531.4</v>
      </c>
      <c r="B44">
        <f>151399.3501+(1.162925543*Dummy_Variables!E225)+(33.64117308*Dummy_Variables!F225)-(70986.27419*Dummy_Variables!G225)+(2851.729043*Dummy_Variables!H225)-(217.0377465*Dummy_Variables!I225)</f>
        <v>770257.46889189747</v>
      </c>
      <c r="C44">
        <f t="shared" si="0"/>
        <v>-46726.068891897448</v>
      </c>
    </row>
    <row r="45" spans="1:3">
      <c r="A45" s="2">
        <v>559660.84</v>
      </c>
      <c r="B45">
        <f>151399.3501+(1.162925543*Dummy_Variables!E321)+(33.64117308*Dummy_Variables!F321)-(70986.27419*Dummy_Variables!G321)+(2851.729043*Dummy_Variables!H321)-(217.0377465*Dummy_Variables!I321)</f>
        <v>606117.73791699868</v>
      </c>
      <c r="C45">
        <f t="shared" si="0"/>
        <v>-46456.897916998714</v>
      </c>
    </row>
    <row r="46" spans="1:3">
      <c r="A46" s="2">
        <v>617291.15</v>
      </c>
      <c r="B46">
        <f>151399.3501+(1.162925543*Dummy_Variables!E60)+(33.64117308*Dummy_Variables!F60)-(70986.27419*Dummy_Variables!G60)+(2851.729043*Dummy_Variables!H60)-(217.0377465*Dummy_Variables!I60)</f>
        <v>663648.66283142054</v>
      </c>
      <c r="C46">
        <f t="shared" si="0"/>
        <v>-46357.512831420521</v>
      </c>
    </row>
    <row r="47" spans="1:3">
      <c r="A47" s="2">
        <v>721364.11</v>
      </c>
      <c r="B47">
        <f>151399.3501+(1.162925543*Dummy_Variables!E175)+(33.64117308*Dummy_Variables!F175)-(70986.27419*Dummy_Variables!G175)+(2851.729043*Dummy_Variables!H175)-(217.0377465*Dummy_Variables!I175)</f>
        <v>767141.07682995719</v>
      </c>
      <c r="C47">
        <f t="shared" si="0"/>
        <v>-45776.966829957208</v>
      </c>
    </row>
    <row r="48" spans="1:3">
      <c r="A48" s="2">
        <v>577732.56999999995</v>
      </c>
      <c r="B48">
        <f>151399.3501+(1.162925543*Dummy_Variables!E146)+(33.64117308*Dummy_Variables!F146)-(70986.27419*Dummy_Variables!G146)+(2851.729043*Dummy_Variables!H146)-(217.0377465*Dummy_Variables!I146)</f>
        <v>623444.85827504261</v>
      </c>
      <c r="C48">
        <f t="shared" si="0"/>
        <v>-45712.288275042665</v>
      </c>
    </row>
    <row r="49" spans="1:3">
      <c r="A49" s="2">
        <v>607084.92000000004</v>
      </c>
      <c r="B49">
        <f>151399.3501+(1.162925543*Dummy_Variables!E204)+(33.64117308*Dummy_Variables!F204)-(70986.27419*Dummy_Variables!G204)+(2851.729043*Dummy_Variables!H204)-(217.0377465*Dummy_Variables!I204)</f>
        <v>652475.7609231039</v>
      </c>
      <c r="C49">
        <f t="shared" si="0"/>
        <v>-45390.840923103853</v>
      </c>
    </row>
    <row r="50" spans="1:3">
      <c r="A50" s="2">
        <v>680840.36</v>
      </c>
      <c r="B50">
        <f>151399.3501+(1.162925543*Dummy_Variables!E77)+(33.64117308*Dummy_Variables!F77)-(70986.27419*Dummy_Variables!G77)+(2851.729043*Dummy_Variables!H77)-(217.0377465*Dummy_Variables!I77)</f>
        <v>725884.85652798903</v>
      </c>
      <c r="C50">
        <f t="shared" si="0"/>
        <v>-45044.496527989046</v>
      </c>
    </row>
    <row r="51" spans="1:3">
      <c r="A51" s="2">
        <v>650480.06000000006</v>
      </c>
      <c r="B51">
        <f>151399.3501+(1.162925543*Dummy_Variables!E162)+(33.64117308*Dummy_Variables!F162)-(70986.27419*Dummy_Variables!G162)+(2851.729043*Dummy_Variables!H162)-(217.0377465*Dummy_Variables!I162)</f>
        <v>694908.08428047167</v>
      </c>
      <c r="C51">
        <f t="shared" si="0"/>
        <v>-44428.024280471611</v>
      </c>
    </row>
    <row r="52" spans="1:3">
      <c r="A52" s="2">
        <v>697287.9</v>
      </c>
      <c r="B52">
        <f>151399.3501+(1.162925543*Dummy_Variables!E116)+(33.64117308*Dummy_Variables!F116)-(70986.27419*Dummy_Variables!G116)+(2851.729043*Dummy_Variables!H116)-(217.0377465*Dummy_Variables!I116)</f>
        <v>741625.52376710286</v>
      </c>
      <c r="C52">
        <f t="shared" si="0"/>
        <v>-44337.623767102836</v>
      </c>
    </row>
    <row r="53" spans="1:3">
      <c r="A53" s="2">
        <v>574066.61</v>
      </c>
      <c r="B53">
        <f>151399.3501+(1.162925543*Dummy_Variables!E199)+(33.64117308*Dummy_Variables!F199)-(70986.27419*Dummy_Variables!G199)+(2851.729043*Dummy_Variables!H199)-(217.0377465*Dummy_Variables!I199)</f>
        <v>617310.96631473664</v>
      </c>
      <c r="C53">
        <f t="shared" si="0"/>
        <v>-43244.356314736651</v>
      </c>
    </row>
    <row r="54" spans="1:3">
      <c r="A54" s="2">
        <v>685830.24</v>
      </c>
      <c r="B54">
        <f>151399.3501+(1.162925543*Dummy_Variables!E156)+(33.64117308*Dummy_Variables!F156)-(70986.27419*Dummy_Variables!G156)+(2851.729043*Dummy_Variables!H156)-(217.0377465*Dummy_Variables!I156)</f>
        <v>728697.16638247517</v>
      </c>
      <c r="C54">
        <f t="shared" si="0"/>
        <v>-42866.926382475183</v>
      </c>
    </row>
    <row r="55" spans="1:3">
      <c r="A55" s="2">
        <v>688368.46</v>
      </c>
      <c r="B55">
        <f>151399.3501+(1.162925543*Dummy_Variables!E315)+(33.64117308*Dummy_Variables!F315)-(70986.27419*Dummy_Variables!G315)+(2851.729043*Dummy_Variables!H315)-(217.0377465*Dummy_Variables!I315)</f>
        <v>731144.50058573857</v>
      </c>
      <c r="C55">
        <f t="shared" si="0"/>
        <v>-42776.040585738607</v>
      </c>
    </row>
    <row r="56" spans="1:3">
      <c r="A56" s="2">
        <v>537058.32999999996</v>
      </c>
      <c r="B56">
        <f>151399.3501+(1.162925543*Dummy_Variables!E147)+(33.64117308*Dummy_Variables!F147)-(70986.27419*Dummy_Variables!G147)+(2851.729043*Dummy_Variables!H147)-(217.0377465*Dummy_Variables!I147)</f>
        <v>579370.81523784366</v>
      </c>
      <c r="C56">
        <f t="shared" si="0"/>
        <v>-42312.485237843706</v>
      </c>
    </row>
    <row r="57" spans="1:3">
      <c r="A57" s="2">
        <v>596969.27</v>
      </c>
      <c r="B57">
        <f>151399.3501+(1.162925543*Dummy_Variables!E232)+(33.64117308*Dummy_Variables!F232)-(70986.27419*Dummy_Variables!G232)+(2851.729043*Dummy_Variables!H232)-(217.0377465*Dummy_Variables!I232)</f>
        <v>638848.91261689481</v>
      </c>
      <c r="C57">
        <f t="shared" si="0"/>
        <v>-41879.642616894795</v>
      </c>
    </row>
    <row r="58" spans="1:3">
      <c r="A58" s="2">
        <v>487464.91</v>
      </c>
      <c r="B58">
        <f>151399.3501+(1.162925543*Dummy_Variables!E57)+(33.64117308*Dummy_Variables!F57)-(70986.27419*Dummy_Variables!G57)+(2851.729043*Dummy_Variables!H57)-(217.0377465*Dummy_Variables!I57)</f>
        <v>529033.8614878098</v>
      </c>
      <c r="C58">
        <f t="shared" si="0"/>
        <v>-41568.951487809827</v>
      </c>
    </row>
    <row r="59" spans="1:3">
      <c r="A59" s="2">
        <v>599603.4</v>
      </c>
      <c r="B59">
        <f>151399.3501+(1.162925543*Dummy_Variables!E47)+(33.64117308*Dummy_Variables!F47)-(70986.27419*Dummy_Variables!G47)+(2851.729043*Dummy_Variables!H47)-(217.0377465*Dummy_Variables!I47)</f>
        <v>639934.88775740401</v>
      </c>
      <c r="C59">
        <f t="shared" si="0"/>
        <v>-40331.487757403986</v>
      </c>
    </row>
    <row r="60" spans="1:3">
      <c r="A60" s="2">
        <v>557487.26</v>
      </c>
      <c r="B60">
        <f>151399.3501+(1.162925543*Dummy_Variables!E124)+(33.64117308*Dummy_Variables!F124)-(70986.27419*Dummy_Variables!G124)+(2851.729043*Dummy_Variables!H124)-(217.0377465*Dummy_Variables!I124)</f>
        <v>595753.44271167857</v>
      </c>
      <c r="C60">
        <f t="shared" si="0"/>
        <v>-38266.182711678557</v>
      </c>
    </row>
    <row r="61" spans="1:3">
      <c r="A61" s="2">
        <v>739831.73</v>
      </c>
      <c r="B61">
        <f>151399.3501+(1.162925543*Dummy_Variables!E170)+(33.64117308*Dummy_Variables!F170)-(70986.27419*Dummy_Variables!G170)+(2851.729043*Dummy_Variables!H170)-(217.0377465*Dummy_Variables!I170)</f>
        <v>777653.37850701483</v>
      </c>
      <c r="C61">
        <f t="shared" si="0"/>
        <v>-37821.648507014848</v>
      </c>
    </row>
    <row r="62" spans="1:3">
      <c r="A62" s="2">
        <v>536524.84</v>
      </c>
      <c r="B62">
        <f>151399.3501+(1.162925543*Dummy_Variables!E311)+(33.64117308*Dummy_Variables!F311)-(70986.27419*Dummy_Variables!G311)+(2851.729043*Dummy_Variables!H311)-(217.0377465*Dummy_Variables!I311)</f>
        <v>572185.14989706234</v>
      </c>
      <c r="C62">
        <f t="shared" si="0"/>
        <v>-35660.309897062369</v>
      </c>
    </row>
    <row r="63" spans="1:3">
      <c r="A63" s="2">
        <v>546223.69999999995</v>
      </c>
      <c r="B63">
        <f>151399.3501+(1.162925543*Dummy_Variables!E294)+(33.64117308*Dummy_Variables!F294)-(70986.27419*Dummy_Variables!G294)+(2851.729043*Dummy_Variables!H294)-(217.0377465*Dummy_Variables!I294)</f>
        <v>581277.68206458178</v>
      </c>
      <c r="C63">
        <f t="shared" si="0"/>
        <v>-35053.982064581825</v>
      </c>
    </row>
    <row r="64" spans="1:3">
      <c r="A64" s="2">
        <v>679230.86</v>
      </c>
      <c r="B64">
        <f>151399.3501+(1.162925543*Dummy_Variables!E248)+(33.64117308*Dummy_Variables!F248)-(70986.27419*Dummy_Variables!G248)+(2851.729043*Dummy_Variables!H248)-(217.0377465*Dummy_Variables!I248)</f>
        <v>713091.31238921173</v>
      </c>
      <c r="C64">
        <f t="shared" si="0"/>
        <v>-33860.452389211743</v>
      </c>
    </row>
    <row r="65" spans="1:3">
      <c r="A65" s="2">
        <v>758138.29</v>
      </c>
      <c r="B65">
        <f>151399.3501+(1.162925543*Dummy_Variables!E176)+(33.64117308*Dummy_Variables!F176)-(70986.27419*Dummy_Variables!G176)+(2851.729043*Dummy_Variables!H176)-(217.0377465*Dummy_Variables!I176)</f>
        <v>791469.92760258145</v>
      </c>
      <c r="C65">
        <f t="shared" si="0"/>
        <v>-33331.63760258141</v>
      </c>
    </row>
    <row r="66" spans="1:3">
      <c r="A66" s="2">
        <v>602002.31999999995</v>
      </c>
      <c r="B66">
        <f>151399.3501+(1.162925543*Dummy_Variables!E159)+(33.64117308*Dummy_Variables!F159)-(70986.27419*Dummy_Variables!G159)+(2851.729043*Dummy_Variables!H159)-(217.0377465*Dummy_Variables!I159)</f>
        <v>634654.23710729252</v>
      </c>
      <c r="C66">
        <f t="shared" ref="C66:C129" si="1">A66-B66</f>
        <v>-32651.917107292567</v>
      </c>
    </row>
    <row r="67" spans="1:3">
      <c r="A67" s="2">
        <v>718330.53</v>
      </c>
      <c r="B67">
        <f>151399.3501+(1.162925543*Dummy_Variables!E39)+(33.64117308*Dummy_Variables!F39)-(70986.27419*Dummy_Variables!G39)+(2851.729043*Dummy_Variables!H39)-(217.0377465*Dummy_Variables!I39)</f>
        <v>750635.34099554759</v>
      </c>
      <c r="C67">
        <f t="shared" si="1"/>
        <v>-32304.810995547567</v>
      </c>
    </row>
    <row r="68" spans="1:3">
      <c r="A68" s="2">
        <v>573155.18999999994</v>
      </c>
      <c r="B68">
        <f>151399.3501+(1.162925543*Dummy_Variables!E19)+(33.64117308*Dummy_Variables!F19)-(70986.27419*Dummy_Variables!G19)+(2851.729043*Dummy_Variables!H19)-(217.0377465*Dummy_Variables!I19)</f>
        <v>604925.48443674971</v>
      </c>
      <c r="C68">
        <f t="shared" si="1"/>
        <v>-31770.294436749769</v>
      </c>
    </row>
    <row r="69" spans="1:3">
      <c r="A69" s="2">
        <v>666573.19999999995</v>
      </c>
      <c r="B69">
        <f>151399.3501+(1.162925543*Dummy_Variables!E20)+(33.64117308*Dummy_Variables!F20)-(70986.27419*Dummy_Variables!G20)+(2851.729043*Dummy_Variables!H20)-(217.0377465*Dummy_Variables!I20)</f>
        <v>697726.59259463823</v>
      </c>
      <c r="C69">
        <f t="shared" si="1"/>
        <v>-31153.392594638281</v>
      </c>
    </row>
    <row r="70" spans="1:3">
      <c r="A70" s="2">
        <v>696261.49</v>
      </c>
      <c r="B70">
        <f>151399.3501+(1.162925543*Dummy_Variables!E291)+(33.64117308*Dummy_Variables!F291)-(70986.27419*Dummy_Variables!G291)+(2851.729043*Dummy_Variables!H291)-(217.0377465*Dummy_Variables!I291)</f>
        <v>727378.77464578813</v>
      </c>
      <c r="C70">
        <f t="shared" si="1"/>
        <v>-31117.284645788139</v>
      </c>
    </row>
    <row r="71" spans="1:3">
      <c r="A71" s="2">
        <v>586626.93999999994</v>
      </c>
      <c r="B71">
        <f>151399.3501+(1.162925543*Dummy_Variables!E103)+(33.64117308*Dummy_Variables!F103)-(70986.27419*Dummy_Variables!G103)+(2851.729043*Dummy_Variables!H103)-(217.0377465*Dummy_Variables!I103)</f>
        <v>617410.33084608335</v>
      </c>
      <c r="C71">
        <f t="shared" si="1"/>
        <v>-30783.390846083406</v>
      </c>
    </row>
    <row r="72" spans="1:3">
      <c r="A72" s="2">
        <v>479050.5</v>
      </c>
      <c r="B72">
        <f>151399.3501+(1.162925543*Dummy_Variables!E71)+(33.64117308*Dummy_Variables!F71)-(70986.27419*Dummy_Variables!G71)+(2851.729043*Dummy_Variables!H71)-(217.0377465*Dummy_Variables!I71)</f>
        <v>509262.79328678339</v>
      </c>
      <c r="C72">
        <f t="shared" si="1"/>
        <v>-30212.293286783388</v>
      </c>
    </row>
    <row r="73" spans="1:3">
      <c r="A73" s="2">
        <v>555557.77</v>
      </c>
      <c r="B73">
        <f>151399.3501+(1.162925543*Dummy_Variables!E283)+(33.64117308*Dummy_Variables!F283)-(70986.27419*Dummy_Variables!G283)+(2851.729043*Dummy_Variables!H283)-(217.0377465*Dummy_Variables!I283)</f>
        <v>585389.72817570413</v>
      </c>
      <c r="C73">
        <f t="shared" si="1"/>
        <v>-29831.958175704116</v>
      </c>
    </row>
    <row r="74" spans="1:3">
      <c r="A74" s="2">
        <v>578949.84</v>
      </c>
      <c r="B74">
        <f>151399.3501+(1.162925543*Dummy_Variables!E200)+(33.64117308*Dummy_Variables!F200)-(70986.27419*Dummy_Variables!G200)+(2851.729043*Dummy_Variables!H200)-(217.0377465*Dummy_Variables!I200)</f>
        <v>608235.8720810262</v>
      </c>
      <c r="C74">
        <f t="shared" si="1"/>
        <v>-29286.032081026235</v>
      </c>
    </row>
    <row r="75" spans="1:3">
      <c r="A75" s="2">
        <v>666152.52</v>
      </c>
      <c r="B75">
        <f>151399.3501+(1.162925543*Dummy_Variables!E18)+(33.64117308*Dummy_Variables!F18)-(70986.27419*Dummy_Variables!G18)+(2851.729043*Dummy_Variables!H18)-(217.0377465*Dummy_Variables!I18)</f>
        <v>695302.48826990149</v>
      </c>
      <c r="C75">
        <f t="shared" si="1"/>
        <v>-29149.968269901467</v>
      </c>
    </row>
    <row r="76" spans="1:3">
      <c r="A76" s="2">
        <v>527681.56000000006</v>
      </c>
      <c r="B76">
        <f>151399.3501+(1.162925543*Dummy_Variables!E228)+(33.64117308*Dummy_Variables!F228)-(70986.27419*Dummy_Variables!G228)+(2851.729043*Dummy_Variables!H228)-(217.0377465*Dummy_Variables!I228)</f>
        <v>556709.91842745687</v>
      </c>
      <c r="C76">
        <f t="shared" si="1"/>
        <v>-29028.358427456813</v>
      </c>
    </row>
    <row r="77" spans="1:3">
      <c r="A77" s="2">
        <v>718074.79</v>
      </c>
      <c r="B77">
        <f>151399.3501+(1.162925543*Dummy_Variables!E117)+(33.64117308*Dummy_Variables!F117)-(70986.27419*Dummy_Variables!G117)+(2851.729043*Dummy_Variables!H117)-(217.0377465*Dummy_Variables!I117)</f>
        <v>746689.46712437319</v>
      </c>
      <c r="C77">
        <f t="shared" si="1"/>
        <v>-28614.677124373149</v>
      </c>
    </row>
    <row r="78" spans="1:3">
      <c r="A78" s="2">
        <v>612390.14</v>
      </c>
      <c r="B78">
        <f>151399.3501+(1.162925543*Dummy_Variables!E257)+(33.64117308*Dummy_Variables!F257)-(70986.27419*Dummy_Variables!G257)+(2851.729043*Dummy_Variables!H257)-(217.0377465*Dummy_Variables!I257)</f>
        <v>640091.15420037345</v>
      </c>
      <c r="C78">
        <f t="shared" si="1"/>
        <v>-27701.014200373436</v>
      </c>
    </row>
    <row r="79" spans="1:3">
      <c r="A79" s="2">
        <v>800979.78</v>
      </c>
      <c r="B79">
        <f>151399.3501+(1.162925543*Dummy_Variables!E37)+(33.64117308*Dummy_Variables!F37)-(70986.27419*Dummy_Variables!G37)+(2851.729043*Dummy_Variables!H37)-(217.0377465*Dummy_Variables!I37)</f>
        <v>828655.77681674715</v>
      </c>
      <c r="C79">
        <f t="shared" si="1"/>
        <v>-27675.996816747123</v>
      </c>
    </row>
    <row r="80" spans="1:3">
      <c r="A80" s="2">
        <v>702068.92</v>
      </c>
      <c r="B80">
        <f>151399.3501+(1.162925543*Dummy_Variables!E293)+(33.64117308*Dummy_Variables!F293)-(70986.27419*Dummy_Variables!G293)+(2851.729043*Dummy_Variables!H293)-(217.0377465*Dummy_Variables!I293)</f>
        <v>729189.56782432413</v>
      </c>
      <c r="C80">
        <f t="shared" si="1"/>
        <v>-27120.647824324085</v>
      </c>
    </row>
    <row r="81" spans="1:3">
      <c r="A81" s="2">
        <v>804264</v>
      </c>
      <c r="B81">
        <f>151399.3501+(1.162925543*Dummy_Variables!E177)+(33.64117308*Dummy_Variables!F177)-(70986.27419*Dummy_Variables!G177)+(2851.729043*Dummy_Variables!H177)-(217.0377465*Dummy_Variables!I177)</f>
        <v>831140.78017700929</v>
      </c>
      <c r="C81">
        <f t="shared" si="1"/>
        <v>-26876.780177009292</v>
      </c>
    </row>
    <row r="82" spans="1:3">
      <c r="A82" s="2">
        <v>500173.02</v>
      </c>
      <c r="B82">
        <f>151399.3501+(1.162925543*Dummy_Variables!E32)+(33.64117308*Dummy_Variables!F32)-(70986.27419*Dummy_Variables!G32)+(2851.729043*Dummy_Variables!H32)-(217.0377465*Dummy_Variables!I32)</f>
        <v>526980.87436039338</v>
      </c>
      <c r="C82">
        <f t="shared" si="1"/>
        <v>-26807.854360393365</v>
      </c>
    </row>
    <row r="83" spans="1:3">
      <c r="A83" s="2">
        <v>761835.34</v>
      </c>
      <c r="B83">
        <f>151399.3501+(1.162925543*Dummy_Variables!E7)+(33.64117308*Dummy_Variables!F7)-(70986.27419*Dummy_Variables!G7)+(2851.729043*Dummy_Variables!H7)-(217.0377465*Dummy_Variables!I7)</f>
        <v>788349.45119241707</v>
      </c>
      <c r="C83">
        <f t="shared" si="1"/>
        <v>-26514.111192417098</v>
      </c>
    </row>
    <row r="84" spans="1:3">
      <c r="A84" s="2">
        <v>761122.42</v>
      </c>
      <c r="B84">
        <f>151399.3501+(1.162925543*Dummy_Variables!E281)+(33.64117308*Dummy_Variables!F281)-(70986.27419*Dummy_Variables!G281)+(2851.729043*Dummy_Variables!H281)-(217.0377465*Dummy_Variables!I281)</f>
        <v>787388.4059697045</v>
      </c>
      <c r="C84">
        <f t="shared" si="1"/>
        <v>-26265.985969704459</v>
      </c>
    </row>
    <row r="85" spans="1:3">
      <c r="A85" s="2">
        <v>611766.72</v>
      </c>
      <c r="B85">
        <f>151399.3501+(1.162925543*Dummy_Variables!E87)+(33.64117308*Dummy_Variables!F87)-(70986.27419*Dummy_Variables!G87)+(2851.729043*Dummy_Variables!H87)-(217.0377465*Dummy_Variables!I87)</f>
        <v>636402.85293309717</v>
      </c>
      <c r="C85">
        <f t="shared" si="1"/>
        <v>-24636.132933097193</v>
      </c>
    </row>
    <row r="86" spans="1:3">
      <c r="A86" s="2">
        <v>614024.91</v>
      </c>
      <c r="B86">
        <f>151399.3501+(1.162925543*Dummy_Variables!E150)+(33.64117308*Dummy_Variables!F150)-(70986.27419*Dummy_Variables!G150)+(2851.729043*Dummy_Variables!H150)-(217.0377465*Dummy_Variables!I150)</f>
        <v>638552.8109142842</v>
      </c>
      <c r="C86">
        <f t="shared" si="1"/>
        <v>-24527.900914284168</v>
      </c>
    </row>
    <row r="87" spans="1:3">
      <c r="A87" s="2">
        <v>599017.32999999996</v>
      </c>
      <c r="B87">
        <f>151399.3501+(1.162925543*Dummy_Variables!E300)+(33.64117308*Dummy_Variables!F300)-(70986.27419*Dummy_Variables!G300)+(2851.729043*Dummy_Variables!H300)-(217.0377465*Dummy_Variables!I300)</f>
        <v>623282.67190164211</v>
      </c>
      <c r="C87">
        <f t="shared" si="1"/>
        <v>-24265.341901642154</v>
      </c>
    </row>
    <row r="88" spans="1:3">
      <c r="A88" s="2">
        <v>622811.74</v>
      </c>
      <c r="B88">
        <f>151399.3501+(1.162925543*Dummy_Variables!E50)+(33.64117308*Dummy_Variables!F50)-(70986.27419*Dummy_Variables!G50)+(2851.729043*Dummy_Variables!H50)-(217.0377465*Dummy_Variables!I50)</f>
        <v>646842.89041411923</v>
      </c>
      <c r="C88">
        <f t="shared" si="1"/>
        <v>-24031.150414119242</v>
      </c>
    </row>
    <row r="89" spans="1:3">
      <c r="A89" s="2">
        <v>708985.19</v>
      </c>
      <c r="B89">
        <f>151399.3501+(1.162925543*Dummy_Variables!E266)+(33.64117308*Dummy_Variables!F266)-(70986.27419*Dummy_Variables!G266)+(2851.729043*Dummy_Variables!H266)-(217.0377465*Dummy_Variables!I266)</f>
        <v>732901.80399738718</v>
      </c>
      <c r="C89">
        <f t="shared" si="1"/>
        <v>-23916.613997387234</v>
      </c>
    </row>
    <row r="90" spans="1:3">
      <c r="A90" s="2">
        <v>946833.54</v>
      </c>
      <c r="B90">
        <f>151399.3501+(1.162925543*Dummy_Variables!E212)+(33.64117308*Dummy_Variables!F212)-(70986.27419*Dummy_Variables!G212)+(2851.729043*Dummy_Variables!H212)-(217.0377465*Dummy_Variables!I212)</f>
        <v>969367.49076475319</v>
      </c>
      <c r="C90">
        <f t="shared" si="1"/>
        <v>-22533.950764753157</v>
      </c>
    </row>
    <row r="91" spans="1:3">
      <c r="A91" s="2">
        <v>607898.12</v>
      </c>
      <c r="B91">
        <f>151399.3501+(1.162925543*Dummy_Variables!E97)+(33.64117308*Dummy_Variables!F97)-(70986.27419*Dummy_Variables!G97)+(2851.729043*Dummy_Variables!H97)-(217.0377465*Dummy_Variables!I97)</f>
        <v>629346.74213036499</v>
      </c>
      <c r="C91">
        <f t="shared" si="1"/>
        <v>-21448.622130364995</v>
      </c>
    </row>
    <row r="92" spans="1:3">
      <c r="A92" s="2">
        <v>650795.49</v>
      </c>
      <c r="B92">
        <f>151399.3501+(1.162925543*Dummy_Variables!E205)+(33.64117308*Dummy_Variables!F205)-(70986.27419*Dummy_Variables!G205)+(2851.729043*Dummy_Variables!H205)-(217.0377465*Dummy_Variables!I205)</f>
        <v>672232.62009579409</v>
      </c>
      <c r="C92">
        <f t="shared" si="1"/>
        <v>-21437.130095794098</v>
      </c>
    </row>
    <row r="93" spans="1:3">
      <c r="A93" s="2">
        <v>784502.68</v>
      </c>
      <c r="B93">
        <f>151399.3501+(1.162925543*Dummy_Variables!E66)+(33.64117308*Dummy_Variables!F66)-(70986.27419*Dummy_Variables!G66)+(2851.729043*Dummy_Variables!H66)-(217.0377465*Dummy_Variables!I66)</f>
        <v>805112.67929860833</v>
      </c>
      <c r="C93">
        <f t="shared" si="1"/>
        <v>-20609.99929860828</v>
      </c>
    </row>
    <row r="94" spans="1:3">
      <c r="A94" s="2">
        <v>636561.34</v>
      </c>
      <c r="B94">
        <f>151399.3501+(1.162925543*Dummy_Variables!E81)+(33.64117308*Dummy_Variables!F81)-(70986.27419*Dummy_Variables!G81)+(2851.729043*Dummy_Variables!H81)-(217.0377465*Dummy_Variables!I81)</f>
        <v>657036.82424138568</v>
      </c>
      <c r="C94">
        <f t="shared" si="1"/>
        <v>-20475.484241385711</v>
      </c>
    </row>
    <row r="95" spans="1:3">
      <c r="A95" s="2">
        <v>679731.57</v>
      </c>
      <c r="B95">
        <f>151399.3501+(1.162925543*Dummy_Variables!E173)+(33.64117308*Dummy_Variables!F173)-(70986.27419*Dummy_Variables!G173)+(2851.729043*Dummy_Variables!H173)-(217.0377465*Dummy_Variables!I173)</f>
        <v>699740.32202274492</v>
      </c>
      <c r="C95">
        <f t="shared" si="1"/>
        <v>-20008.752022744971</v>
      </c>
    </row>
    <row r="96" spans="1:3">
      <c r="A96" s="2">
        <v>681855.56</v>
      </c>
      <c r="B96">
        <f>151399.3501+(1.162925543*Dummy_Variables!E186)+(33.64117308*Dummy_Variables!F186)-(70986.27419*Dummy_Variables!G186)+(2851.729043*Dummy_Variables!H186)-(217.0377465*Dummy_Variables!I186)</f>
        <v>701613.95646243973</v>
      </c>
      <c r="C96">
        <f t="shared" si="1"/>
        <v>-19758.396462439676</v>
      </c>
    </row>
    <row r="97" spans="1:3">
      <c r="A97" s="2">
        <v>500298.48</v>
      </c>
      <c r="B97">
        <f>151399.3501+(1.162925543*Dummy_Variables!E59)+(33.64117308*Dummy_Variables!F59)-(70986.27419*Dummy_Variables!G59)+(2851.729043*Dummy_Variables!H59)-(217.0377465*Dummy_Variables!I59)</f>
        <v>519054.22564207425</v>
      </c>
      <c r="C97">
        <f t="shared" si="1"/>
        <v>-18755.745642074267</v>
      </c>
    </row>
    <row r="98" spans="1:3">
      <c r="A98" s="2">
        <v>633494.21</v>
      </c>
      <c r="B98">
        <f>151399.3501+(1.162925543*Dummy_Variables!E112)+(33.64117308*Dummy_Variables!F112)-(70986.27419*Dummy_Variables!G112)+(2851.729043*Dummy_Variables!H112)-(217.0377465*Dummy_Variables!I112)</f>
        <v>652110.22375790949</v>
      </c>
      <c r="C98">
        <f t="shared" si="1"/>
        <v>-18616.013757909532</v>
      </c>
    </row>
    <row r="99" spans="1:3">
      <c r="A99" s="2">
        <v>642751.42000000004</v>
      </c>
      <c r="B99">
        <f>151399.3501+(1.162925543*Dummy_Variables!E251)+(33.64117308*Dummy_Variables!F251)-(70986.27419*Dummy_Variables!G251)+(2851.729043*Dummy_Variables!H251)-(217.0377465*Dummy_Variables!I251)</f>
        <v>661364.59305928461</v>
      </c>
      <c r="C99">
        <f t="shared" si="1"/>
        <v>-18613.173059284571</v>
      </c>
    </row>
    <row r="100" spans="1:3">
      <c r="A100" s="2">
        <v>706285.52</v>
      </c>
      <c r="B100">
        <f>151399.3501+(1.162925543*Dummy_Variables!E167)+(33.64117308*Dummy_Variables!F167)-(70986.27419*Dummy_Variables!G167)+(2851.729043*Dummy_Variables!H167)-(217.0377465*Dummy_Variables!I167)</f>
        <v>724712.25075274182</v>
      </c>
      <c r="C100">
        <f t="shared" si="1"/>
        <v>-18426.730752741802</v>
      </c>
    </row>
    <row r="101" spans="1:3">
      <c r="A101" s="2">
        <v>811452.72</v>
      </c>
      <c r="B101">
        <f>151399.3501+(1.162925543*Dummy_Variables!E133)+(33.64117308*Dummy_Variables!F133)-(70986.27419*Dummy_Variables!G133)+(2851.729043*Dummy_Variables!H133)-(217.0377465*Dummy_Variables!I133)</f>
        <v>829297.43914746947</v>
      </c>
      <c r="C101">
        <f t="shared" si="1"/>
        <v>-17844.719147469499</v>
      </c>
    </row>
    <row r="102" spans="1:3">
      <c r="A102" s="2">
        <v>636775.66</v>
      </c>
      <c r="B102">
        <f>151399.3501+(1.162925543*Dummy_Variables!E286)+(33.64117308*Dummy_Variables!F286)-(70986.27419*Dummy_Variables!G286)+(2851.729043*Dummy_Variables!H286)-(217.0377465*Dummy_Variables!I286)</f>
        <v>653965.31244405161</v>
      </c>
      <c r="C102">
        <f t="shared" si="1"/>
        <v>-17189.652444051579</v>
      </c>
    </row>
    <row r="103" spans="1:3">
      <c r="A103" s="2">
        <v>798952.17</v>
      </c>
      <c r="B103">
        <f>151399.3501+(1.162925543*Dummy_Variables!E36)+(33.64117308*Dummy_Variables!F36)-(70986.27419*Dummy_Variables!G36)+(2851.729043*Dummy_Variables!H36)-(217.0377465*Dummy_Variables!I36)</f>
        <v>815471.33875904686</v>
      </c>
      <c r="C103">
        <f t="shared" si="1"/>
        <v>-16519.168759046821</v>
      </c>
    </row>
    <row r="104" spans="1:3">
      <c r="A104" s="2">
        <v>761963.23</v>
      </c>
      <c r="B104">
        <f>151399.3501+(1.162925543*Dummy_Variables!E213)+(33.64117308*Dummy_Variables!F213)-(70986.27419*Dummy_Variables!G213)+(2851.729043*Dummy_Variables!H213)-(217.0377465*Dummy_Variables!I213)</f>
        <v>778421.98186356225</v>
      </c>
      <c r="C104">
        <f t="shared" si="1"/>
        <v>-16458.751863562269</v>
      </c>
    </row>
    <row r="105" spans="1:3">
      <c r="A105" s="2">
        <v>825060.52</v>
      </c>
      <c r="B105">
        <f>151399.3501+(1.162925543*Dummy_Variables!E206)+(33.64117308*Dummy_Variables!F206)-(70986.27419*Dummy_Variables!G206)+(2851.729043*Dummy_Variables!H206)-(217.0377465*Dummy_Variables!I206)</f>
        <v>841226.09183212614</v>
      </c>
      <c r="C105">
        <f t="shared" si="1"/>
        <v>-16165.571832126123</v>
      </c>
    </row>
    <row r="106" spans="1:3">
      <c r="A106" s="2">
        <v>443275.59</v>
      </c>
      <c r="B106">
        <f>151399.3501+(1.162925543*Dummy_Variables!E192)+(33.64117308*Dummy_Variables!F192)-(70986.27419*Dummy_Variables!G192)+(2851.729043*Dummy_Variables!H192)-(217.0377465*Dummy_Variables!I192)</f>
        <v>459350.45603982278</v>
      </c>
      <c r="C106">
        <f t="shared" si="1"/>
        <v>-16074.866039822751</v>
      </c>
    </row>
    <row r="107" spans="1:3">
      <c r="A107" s="2">
        <v>717141.55</v>
      </c>
      <c r="B107">
        <f>151399.3501+(1.162925543*Dummy_Variables!E67)+(33.64117308*Dummy_Variables!F67)-(70986.27419*Dummy_Variables!G67)+(2851.729043*Dummy_Variables!H67)-(217.0377465*Dummy_Variables!I67)</f>
        <v>732984.84338544868</v>
      </c>
      <c r="C107">
        <f t="shared" si="1"/>
        <v>-15843.293385448633</v>
      </c>
    </row>
    <row r="108" spans="1:3">
      <c r="A108" s="2">
        <v>752321.72</v>
      </c>
      <c r="B108">
        <f>151399.3501+(1.162925543*Dummy_Variables!E216)+(33.64117308*Dummy_Variables!F216)-(70986.27419*Dummy_Variables!G216)+(2851.729043*Dummy_Variables!H216)-(217.0377465*Dummy_Variables!I216)</f>
        <v>767834.22701304127</v>
      </c>
      <c r="C108">
        <f t="shared" si="1"/>
        <v>-15512.507013041293</v>
      </c>
    </row>
    <row r="109" spans="1:3">
      <c r="A109" s="2">
        <v>611924.27</v>
      </c>
      <c r="B109">
        <f>151399.3501+(1.162925543*Dummy_Variables!E195)+(33.64117308*Dummy_Variables!F195)-(70986.27419*Dummy_Variables!G195)+(2851.729043*Dummy_Variables!H195)-(217.0377465*Dummy_Variables!I195)</f>
        <v>625845.84248720249</v>
      </c>
      <c r="C109">
        <f t="shared" si="1"/>
        <v>-13921.572487202473</v>
      </c>
    </row>
    <row r="110" spans="1:3">
      <c r="A110" s="2">
        <v>703812.99</v>
      </c>
      <c r="B110">
        <f>151399.3501+(1.162925543*Dummy_Variables!E302)+(33.64117308*Dummy_Variables!F302)-(70986.27419*Dummy_Variables!G302)+(2851.729043*Dummy_Variables!H302)-(217.0377465*Dummy_Variables!I302)</f>
        <v>717572.92324790487</v>
      </c>
      <c r="C110">
        <f t="shared" si="1"/>
        <v>-13759.933247904875</v>
      </c>
    </row>
    <row r="111" spans="1:3">
      <c r="A111" s="2">
        <v>723060.76</v>
      </c>
      <c r="B111">
        <f>151399.3501+(1.162925543*Dummy_Variables!E12)+(33.64117308*Dummy_Variables!F12)-(70986.27419*Dummy_Variables!G12)+(2851.729043*Dummy_Variables!H12)-(217.0377465*Dummy_Variables!I12)</f>
        <v>736297.896393809</v>
      </c>
      <c r="C111">
        <f t="shared" si="1"/>
        <v>-13237.136393808993</v>
      </c>
    </row>
    <row r="112" spans="1:3">
      <c r="A112" s="2">
        <v>529075.94999999995</v>
      </c>
      <c r="B112">
        <f>151399.3501+(1.162925543*Dummy_Variables!E137)+(33.64117308*Dummy_Variables!F137)-(70986.27419*Dummy_Variables!G137)+(2851.729043*Dummy_Variables!H137)-(217.0377465*Dummy_Variables!I137)</f>
        <v>542217.00385051058</v>
      </c>
      <c r="C112">
        <f t="shared" si="1"/>
        <v>-13141.053850510623</v>
      </c>
    </row>
    <row r="113" spans="1:3">
      <c r="A113" s="2">
        <v>643657.47</v>
      </c>
      <c r="B113">
        <f>151399.3501+(1.162925543*Dummy_Variables!E78)+(33.64117308*Dummy_Variables!F78)-(70986.27419*Dummy_Variables!G78)+(2851.729043*Dummy_Variables!H78)-(217.0377465*Dummy_Variables!I78)</f>
        <v>656253.13066899672</v>
      </c>
      <c r="C113">
        <f t="shared" si="1"/>
        <v>-12595.660668996745</v>
      </c>
    </row>
    <row r="114" spans="1:3">
      <c r="A114" s="2">
        <v>819660.59</v>
      </c>
      <c r="B114">
        <f>151399.3501+(1.162925543*Dummy_Variables!E185)+(33.64117308*Dummy_Variables!F185)-(70986.27419*Dummy_Variables!G185)+(2851.729043*Dummy_Variables!H185)-(217.0377465*Dummy_Variables!I185)</f>
        <v>832101.17047352181</v>
      </c>
      <c r="C114">
        <f t="shared" si="1"/>
        <v>-12440.580473521841</v>
      </c>
    </row>
    <row r="115" spans="1:3">
      <c r="A115" s="2">
        <v>785028.25</v>
      </c>
      <c r="B115">
        <f>151399.3501+(1.162925543*Dummy_Variables!E154)+(33.64117308*Dummy_Variables!F154)-(70986.27419*Dummy_Variables!G154)+(2851.729043*Dummy_Variables!H154)-(217.0377465*Dummy_Variables!I154)</f>
        <v>797444.15884676995</v>
      </c>
      <c r="C115">
        <f t="shared" si="1"/>
        <v>-12415.908846769948</v>
      </c>
    </row>
    <row r="116" spans="1:3">
      <c r="A116" s="2">
        <v>591619.94999999995</v>
      </c>
      <c r="B116">
        <f>151399.3501+(1.162925543*Dummy_Variables!E21)+(33.64117308*Dummy_Variables!F21)-(70986.27419*Dummy_Variables!G21)+(2851.729043*Dummy_Variables!H21)-(217.0377465*Dummy_Variables!I21)</f>
        <v>603849.37925729796</v>
      </c>
      <c r="C116">
        <f t="shared" si="1"/>
        <v>-12229.429257298005</v>
      </c>
    </row>
    <row r="117" spans="1:3">
      <c r="A117" s="2">
        <v>811771.14</v>
      </c>
      <c r="B117">
        <f>151399.3501+(1.162925543*Dummy_Variables!E26)+(33.64117308*Dummy_Variables!F26)-(70986.27419*Dummy_Variables!G26)+(2851.729043*Dummy_Variables!H26)-(217.0377465*Dummy_Variables!I26)</f>
        <v>823996.38527840271</v>
      </c>
      <c r="C117">
        <f t="shared" si="1"/>
        <v>-12225.245278402697</v>
      </c>
    </row>
    <row r="118" spans="1:3">
      <c r="A118" s="2">
        <v>572011.19999999995</v>
      </c>
      <c r="B118">
        <f>151399.3501+(1.162925543*Dummy_Variables!E64)+(33.64117308*Dummy_Variables!F64)-(70986.27419*Dummy_Variables!G64)+(2851.729043*Dummy_Variables!H64)-(217.0377465*Dummy_Variables!I64)</f>
        <v>584221.95929033228</v>
      </c>
      <c r="C118">
        <f t="shared" si="1"/>
        <v>-12210.759290332324</v>
      </c>
    </row>
    <row r="119" spans="1:3">
      <c r="A119" s="2">
        <v>628538.30000000005</v>
      </c>
      <c r="B119">
        <f>151399.3501+(1.162925543*Dummy_Variables!E310)+(33.64117308*Dummy_Variables!F310)-(70986.27419*Dummy_Variables!G310)+(2851.729043*Dummy_Variables!H310)-(217.0377465*Dummy_Variables!I310)</f>
        <v>640095.15510178078</v>
      </c>
      <c r="C119">
        <f t="shared" si="1"/>
        <v>-11556.855101780733</v>
      </c>
    </row>
    <row r="120" spans="1:3">
      <c r="A120" s="2">
        <v>679888.74</v>
      </c>
      <c r="B120">
        <f>151399.3501+(1.162925543*Dummy_Variables!E249)+(33.64117308*Dummy_Variables!F249)-(70986.27419*Dummy_Variables!G249)+(2851.729043*Dummy_Variables!H249)-(217.0377465*Dummy_Variables!I249)</f>
        <v>691259.42940323579</v>
      </c>
      <c r="C120">
        <f t="shared" si="1"/>
        <v>-11370.689403235796</v>
      </c>
    </row>
    <row r="121" spans="1:3">
      <c r="A121" s="2">
        <v>732667.92</v>
      </c>
      <c r="B121">
        <f>151399.3501+(1.162925543*Dummy_Variables!E224)+(33.64117308*Dummy_Variables!F224)-(70986.27419*Dummy_Variables!G224)+(2851.729043*Dummy_Variables!H224)-(217.0377465*Dummy_Variables!I224)</f>
        <v>743926.3724268279</v>
      </c>
      <c r="C121">
        <f t="shared" si="1"/>
        <v>-11258.452426827862</v>
      </c>
    </row>
    <row r="122" spans="1:3">
      <c r="A122" s="2">
        <v>548103.69999999995</v>
      </c>
      <c r="B122">
        <f>151399.3501+(1.162925543*Dummy_Variables!E289)+(33.64117308*Dummy_Variables!F289)-(70986.27419*Dummy_Variables!G289)+(2851.729043*Dummy_Variables!H289)-(217.0377465*Dummy_Variables!I289)</f>
        <v>559354.19316618866</v>
      </c>
      <c r="C122">
        <f t="shared" si="1"/>
        <v>-11250.493166188709</v>
      </c>
    </row>
    <row r="123" spans="1:3">
      <c r="A123" s="2">
        <v>601568.87</v>
      </c>
      <c r="B123">
        <f>151399.3501+(1.162925543*Dummy_Variables!E148)+(33.64117308*Dummy_Variables!F148)-(70986.27419*Dummy_Variables!G148)+(2851.729043*Dummy_Variables!H148)-(217.0377465*Dummy_Variables!I148)</f>
        <v>612637.27574915311</v>
      </c>
      <c r="C123">
        <f t="shared" si="1"/>
        <v>-11068.405749153113</v>
      </c>
    </row>
    <row r="124" spans="1:3">
      <c r="A124" s="2">
        <v>635837.74</v>
      </c>
      <c r="B124">
        <f>151399.3501+(1.162925543*Dummy_Variables!E276)+(33.64117308*Dummy_Variables!F276)-(70986.27419*Dummy_Variables!G276)+(2851.729043*Dummy_Variables!H276)-(217.0377465*Dummy_Variables!I276)</f>
        <v>646896.10060296953</v>
      </c>
      <c r="C124">
        <f t="shared" si="1"/>
        <v>-11058.360602969537</v>
      </c>
    </row>
    <row r="125" spans="1:3">
      <c r="A125" s="2">
        <v>746501.09</v>
      </c>
      <c r="B125">
        <f>151399.3501+(1.162925543*Dummy_Variables!E16)+(33.64117308*Dummy_Variables!F16)-(70986.27419*Dummy_Variables!G16)+(2851.729043*Dummy_Variables!H16)-(217.0377465*Dummy_Variables!I16)</f>
        <v>757356.55259729398</v>
      </c>
      <c r="C125">
        <f t="shared" si="1"/>
        <v>-10855.462597294012</v>
      </c>
    </row>
    <row r="126" spans="1:3">
      <c r="A126" s="2">
        <v>672670.54</v>
      </c>
      <c r="B126">
        <f>151399.3501+(1.162925543*Dummy_Variables!E223)+(33.64117308*Dummy_Variables!F223)-(70986.27419*Dummy_Variables!G223)+(2851.729043*Dummy_Variables!H223)-(217.0377465*Dummy_Variables!I223)</f>
        <v>683083.10462288954</v>
      </c>
      <c r="C126">
        <f t="shared" si="1"/>
        <v>-10412.564622889506</v>
      </c>
    </row>
    <row r="127" spans="1:3">
      <c r="A127" s="2">
        <v>570964.84</v>
      </c>
      <c r="B127">
        <f>151399.3501+(1.162925543*Dummy_Variables!E149)+(33.64117308*Dummy_Variables!F149)-(70986.27419*Dummy_Variables!G149)+(2851.729043*Dummy_Variables!H149)-(217.0377465*Dummy_Variables!I149)</f>
        <v>581308.76077824319</v>
      </c>
      <c r="C127">
        <f t="shared" si="1"/>
        <v>-10343.92077824322</v>
      </c>
    </row>
    <row r="128" spans="1:3">
      <c r="A128" s="2">
        <v>598904.9</v>
      </c>
      <c r="B128">
        <f>151399.3501+(1.162925543*Dummy_Variables!E202)+(33.64117308*Dummy_Variables!F202)-(70986.27419*Dummy_Variables!G202)+(2851.729043*Dummy_Variables!H202)-(217.0377465*Dummy_Variables!I202)</f>
        <v>609065.08572280104</v>
      </c>
      <c r="C128">
        <f t="shared" si="1"/>
        <v>-10160.185722801019</v>
      </c>
    </row>
    <row r="129" spans="1:3">
      <c r="A129" s="2">
        <v>536845.42000000004</v>
      </c>
      <c r="B129">
        <f>151399.3501+(1.162925543*Dummy_Variables!E319)+(33.64117308*Dummy_Variables!F319)-(70986.27419*Dummy_Variables!G319)+(2851.729043*Dummy_Variables!H319)-(217.0377465*Dummy_Variables!I319)</f>
        <v>546964.43203459657</v>
      </c>
      <c r="C129">
        <f t="shared" si="1"/>
        <v>-10119.012034596526</v>
      </c>
    </row>
    <row r="130" spans="1:3">
      <c r="A130" s="2">
        <v>491905.13</v>
      </c>
      <c r="B130">
        <f>151399.3501+(1.162925543*Dummy_Variables!E23)+(33.64117308*Dummy_Variables!F23)-(70986.27419*Dummy_Variables!G23)+(2851.729043*Dummy_Variables!H23)-(217.0377465*Dummy_Variables!I23)</f>
        <v>501399.63822899188</v>
      </c>
      <c r="C130">
        <f t="shared" ref="C130:C193" si="2">A130-B130</f>
        <v>-9494.5082289918792</v>
      </c>
    </row>
    <row r="131" spans="1:3">
      <c r="A131" s="2">
        <v>621369.57999999996</v>
      </c>
      <c r="B131">
        <f>151399.3501+(1.162925543*Dummy_Variables!E82)+(33.64117308*Dummy_Variables!F82)-(70986.27419*Dummy_Variables!G82)+(2851.729043*Dummy_Variables!H82)-(217.0377465*Dummy_Variables!I82)</f>
        <v>630751.70170312852</v>
      </c>
      <c r="C131">
        <f t="shared" si="2"/>
        <v>-9382.1217031285632</v>
      </c>
    </row>
    <row r="132" spans="1:3">
      <c r="A132" s="2">
        <v>726776.22</v>
      </c>
      <c r="B132">
        <f>151399.3501+(1.162925543*Dummy_Variables!E320)+(33.64117308*Dummy_Variables!F320)-(70986.27419*Dummy_Variables!G320)+(2851.729043*Dummy_Variables!H320)-(217.0377465*Dummy_Variables!I320)</f>
        <v>735911.338629351</v>
      </c>
      <c r="C132">
        <f t="shared" si="2"/>
        <v>-9135.1186293510254</v>
      </c>
    </row>
    <row r="133" spans="1:3">
      <c r="A133" s="2">
        <v>668459.37</v>
      </c>
      <c r="B133">
        <f>151399.3501+(1.162925543*Dummy_Variables!E298)+(33.64117308*Dummy_Variables!F298)-(70986.27419*Dummy_Variables!G298)+(2851.729043*Dummy_Variables!H298)-(217.0377465*Dummy_Variables!I298)</f>
        <v>677346.32311570109</v>
      </c>
      <c r="C133">
        <f t="shared" si="2"/>
        <v>-8886.9531157010933</v>
      </c>
    </row>
    <row r="134" spans="1:3">
      <c r="A134" s="2">
        <v>810355.02</v>
      </c>
      <c r="B134">
        <f>151399.3501+(1.162925543*Dummy_Variables!E239)+(33.64117308*Dummy_Variables!F239)-(70986.27419*Dummy_Variables!G239)+(2851.729043*Dummy_Variables!H239)-(217.0377465*Dummy_Variables!I239)</f>
        <v>819090.3441969289</v>
      </c>
      <c r="C134">
        <f t="shared" si="2"/>
        <v>-8735.3241969288792</v>
      </c>
    </row>
    <row r="135" spans="1:3">
      <c r="A135" s="2">
        <v>585937.48</v>
      </c>
      <c r="B135">
        <f>151399.3501+(1.162925543*Dummy_Variables!E94)+(33.64117308*Dummy_Variables!F94)-(70986.27419*Dummy_Variables!G94)+(2851.729043*Dummy_Variables!H94)-(217.0377465*Dummy_Variables!I94)</f>
        <v>594423.82097676839</v>
      </c>
      <c r="C135">
        <f t="shared" si="2"/>
        <v>-8486.3409767684061</v>
      </c>
    </row>
    <row r="136" spans="1:3">
      <c r="A136" s="2">
        <v>700078.32</v>
      </c>
      <c r="B136">
        <f>151399.3501+(1.162925543*Dummy_Variables!E158)+(33.64117308*Dummy_Variables!F158)-(70986.27419*Dummy_Variables!G158)+(2851.729043*Dummy_Variables!H158)-(217.0377465*Dummy_Variables!I158)</f>
        <v>707253.12551357737</v>
      </c>
      <c r="C136">
        <f t="shared" si="2"/>
        <v>-7174.8055135774193</v>
      </c>
    </row>
    <row r="137" spans="1:3">
      <c r="A137" s="2">
        <v>750471.34</v>
      </c>
      <c r="B137">
        <f>151399.3501+(1.162925543*Dummy_Variables!E247)+(33.64117308*Dummy_Variables!F247)-(70986.27419*Dummy_Variables!G247)+(2851.729043*Dummy_Variables!H247)-(217.0377465*Dummy_Variables!I247)</f>
        <v>757449.26425184356</v>
      </c>
      <c r="C137">
        <f t="shared" si="2"/>
        <v>-6977.9242518435931</v>
      </c>
    </row>
    <row r="138" spans="1:3">
      <c r="A138" s="2">
        <v>593247.25</v>
      </c>
      <c r="B138">
        <f>151399.3501+(1.162925543*Dummy_Variables!E136)+(33.64117308*Dummy_Variables!F136)-(70986.27419*Dummy_Variables!G136)+(2851.729043*Dummy_Variables!H136)-(217.0377465*Dummy_Variables!I136)</f>
        <v>600220.63881964935</v>
      </c>
      <c r="C138">
        <f t="shared" si="2"/>
        <v>-6973.3888196493499</v>
      </c>
    </row>
    <row r="139" spans="1:3">
      <c r="A139" s="2">
        <v>559422.02</v>
      </c>
      <c r="B139">
        <f>151399.3501+(1.162925543*Dummy_Variables!E196)+(33.64117308*Dummy_Variables!F196)-(70986.27419*Dummy_Variables!G196)+(2851.729043*Dummy_Variables!H196)-(217.0377465*Dummy_Variables!I196)</f>
        <v>566078.9392485877</v>
      </c>
      <c r="C139">
        <f t="shared" si="2"/>
        <v>-6656.9192485876847</v>
      </c>
    </row>
    <row r="140" spans="1:3">
      <c r="A140" s="2">
        <v>783797.89</v>
      </c>
      <c r="B140">
        <f>151399.3501+(1.162925543*Dummy_Variables!E107)+(33.64117308*Dummy_Variables!F107)-(70986.27419*Dummy_Variables!G107)+(2851.729043*Dummy_Variables!H107)-(217.0377465*Dummy_Variables!I107)</f>
        <v>790049.58008851705</v>
      </c>
      <c r="C140">
        <f t="shared" si="2"/>
        <v>-6251.6900885170326</v>
      </c>
    </row>
    <row r="141" spans="1:3">
      <c r="A141" s="2">
        <v>518049.26</v>
      </c>
      <c r="B141">
        <f>151399.3501+(1.162925543*Dummy_Variables!E58)+(33.64117308*Dummy_Variables!F58)-(70986.27419*Dummy_Variables!G58)+(2851.729043*Dummy_Variables!H58)-(217.0377465*Dummy_Variables!I58)</f>
        <v>524262.09587636753</v>
      </c>
      <c r="C141">
        <f t="shared" si="2"/>
        <v>-6212.8358763675205</v>
      </c>
    </row>
    <row r="142" spans="1:3">
      <c r="A142" s="2">
        <v>621677.30000000005</v>
      </c>
      <c r="B142">
        <f>151399.3501+(1.162925543*Dummy_Variables!E312)+(33.64117308*Dummy_Variables!F312)-(70986.27419*Dummy_Variables!G312)+(2851.729043*Dummy_Variables!H312)-(217.0377465*Dummy_Variables!I312)</f>
        <v>627574.94326067646</v>
      </c>
      <c r="C142">
        <f t="shared" si="2"/>
        <v>-5897.6432606764138</v>
      </c>
    </row>
    <row r="143" spans="1:3">
      <c r="A143" s="2">
        <v>855341.28</v>
      </c>
      <c r="B143">
        <f>151399.3501+(1.162925543*Dummy_Variables!E182)+(33.64117308*Dummy_Variables!F182)-(70986.27419*Dummy_Variables!G182)+(2851.729043*Dummy_Variables!H182)-(217.0377465*Dummy_Variables!I182)</f>
        <v>861156.64609175269</v>
      </c>
      <c r="C143">
        <f t="shared" si="2"/>
        <v>-5815.3660917526577</v>
      </c>
    </row>
    <row r="144" spans="1:3">
      <c r="A144" s="2">
        <v>665594.93999999994</v>
      </c>
      <c r="B144">
        <f>151399.3501+(1.162925543*Dummy_Variables!E109)+(33.64117308*Dummy_Variables!F109)-(70986.27419*Dummy_Variables!G109)+(2851.729043*Dummy_Variables!H109)-(217.0377465*Dummy_Variables!I109)</f>
        <v>671066.86353044235</v>
      </c>
      <c r="C144">
        <f t="shared" si="2"/>
        <v>-5471.9235304424074</v>
      </c>
    </row>
    <row r="145" spans="1:3">
      <c r="A145" s="2">
        <v>665534.69999999995</v>
      </c>
      <c r="B145">
        <f>151399.3501+(1.162925543*Dummy_Variables!E168)+(33.64117308*Dummy_Variables!F168)-(70986.27419*Dummy_Variables!G168)+(2851.729043*Dummy_Variables!H168)-(217.0377465*Dummy_Variables!I168)</f>
        <v>670979.58725582995</v>
      </c>
      <c r="C145">
        <f t="shared" si="2"/>
        <v>-5444.8872558299918</v>
      </c>
    </row>
    <row r="146" spans="1:3">
      <c r="A146" s="2">
        <v>761077.08</v>
      </c>
      <c r="B146">
        <f>151399.3501+(1.162925543*Dummy_Variables!E184)+(33.64117308*Dummy_Variables!F184)-(70986.27419*Dummy_Variables!G184)+(2851.729043*Dummy_Variables!H184)-(217.0377465*Dummy_Variables!I184)</f>
        <v>765754.08781719499</v>
      </c>
      <c r="C146">
        <f t="shared" si="2"/>
        <v>-4677.0078171950299</v>
      </c>
    </row>
    <row r="147" spans="1:3">
      <c r="A147" s="2">
        <v>677096.71</v>
      </c>
      <c r="B147">
        <f>151399.3501+(1.162925543*Dummy_Variables!E164)+(33.64117308*Dummy_Variables!F164)-(70986.27419*Dummy_Variables!G164)+(2851.729043*Dummy_Variables!H164)-(217.0377465*Dummy_Variables!I164)</f>
        <v>681595.68010148196</v>
      </c>
      <c r="C147">
        <f t="shared" si="2"/>
        <v>-4498.9701014820021</v>
      </c>
    </row>
    <row r="148" spans="1:3">
      <c r="A148" s="2">
        <v>633009.53</v>
      </c>
      <c r="B148">
        <f>151399.3501+(1.162925543*Dummy_Variables!E287)+(33.64117308*Dummy_Variables!F287)-(70986.27419*Dummy_Variables!G287)+(2851.729043*Dummy_Variables!H287)-(217.0377465*Dummy_Variables!I287)</f>
        <v>636888.99066981301</v>
      </c>
      <c r="C148">
        <f t="shared" si="2"/>
        <v>-3879.4606698129792</v>
      </c>
    </row>
    <row r="149" spans="1:3">
      <c r="A149" s="2">
        <v>614596.31999999995</v>
      </c>
      <c r="B149">
        <f>151399.3501+(1.162925543*Dummy_Variables!E88)+(33.64117308*Dummy_Variables!F88)-(70986.27419*Dummy_Variables!G88)+(2851.729043*Dummy_Variables!H88)-(217.0377465*Dummy_Variables!I88)</f>
        <v>617999.83027200715</v>
      </c>
      <c r="C149">
        <f t="shared" si="2"/>
        <v>-3403.5102720072027</v>
      </c>
    </row>
    <row r="150" spans="1:3">
      <c r="A150" s="2">
        <v>692008.64</v>
      </c>
      <c r="B150">
        <f>151399.3501+(1.162925543*Dummy_Variables!E165)+(33.64117308*Dummy_Variables!F165)-(70986.27419*Dummy_Variables!G165)+(2851.729043*Dummy_Variables!H165)-(217.0377465*Dummy_Variables!I165)</f>
        <v>695030.4188427967</v>
      </c>
      <c r="C150">
        <f t="shared" si="2"/>
        <v>-3021.778842796688</v>
      </c>
    </row>
    <row r="151" spans="1:3">
      <c r="A151" s="2">
        <v>801830.35</v>
      </c>
      <c r="B151">
        <f>151399.3501+(1.162925543*Dummy_Variables!E131)+(33.64117308*Dummy_Variables!F131)-(70986.27419*Dummy_Variables!G131)+(2851.729043*Dummy_Variables!H131)-(217.0377465*Dummy_Variables!I131)</f>
        <v>804284.27750733495</v>
      </c>
      <c r="C151">
        <f t="shared" si="2"/>
        <v>-2453.9275073349709</v>
      </c>
    </row>
    <row r="152" spans="1:3">
      <c r="A152" s="2">
        <v>799756.46</v>
      </c>
      <c r="B152">
        <f>151399.3501+(1.162925543*Dummy_Variables!E272)+(33.64117308*Dummy_Variables!F272)-(70986.27419*Dummy_Variables!G272)+(2851.729043*Dummy_Variables!H272)-(217.0377465*Dummy_Variables!I272)</f>
        <v>802122.28592448798</v>
      </c>
      <c r="C152">
        <f t="shared" si="2"/>
        <v>-2365.8259244880173</v>
      </c>
    </row>
    <row r="153" spans="1:3">
      <c r="A153" s="2">
        <v>724346.73</v>
      </c>
      <c r="B153">
        <f>151399.3501+(1.162925543*Dummy_Variables!E303)+(33.64117308*Dummy_Variables!F303)-(70986.27419*Dummy_Variables!G303)+(2851.729043*Dummy_Variables!H303)-(217.0377465*Dummy_Variables!I303)</f>
        <v>726649.78254289017</v>
      </c>
      <c r="C153">
        <f t="shared" si="2"/>
        <v>-2303.0525428901892</v>
      </c>
    </row>
    <row r="154" spans="1:3">
      <c r="A154" s="2">
        <v>537383.79</v>
      </c>
      <c r="B154">
        <f>151399.3501+(1.162925543*Dummy_Variables!E31)+(33.64117308*Dummy_Variables!F31)-(70986.27419*Dummy_Variables!G31)+(2851.729043*Dummy_Variables!H31)-(217.0377465*Dummy_Variables!I31)</f>
        <v>539464.84283887444</v>
      </c>
      <c r="C154">
        <f t="shared" si="2"/>
        <v>-2081.0528388743987</v>
      </c>
    </row>
    <row r="155" spans="1:3">
      <c r="A155" s="2">
        <v>842439.67</v>
      </c>
      <c r="B155">
        <f>151399.3501+(1.162925543*Dummy_Variables!E127)+(33.64117308*Dummy_Variables!F127)-(70986.27419*Dummy_Variables!G127)+(2851.729043*Dummy_Variables!H127)-(217.0377465*Dummy_Variables!I127)</f>
        <v>843877.79307616106</v>
      </c>
      <c r="C155">
        <f t="shared" si="2"/>
        <v>-1438.1230761610204</v>
      </c>
    </row>
    <row r="156" spans="1:3">
      <c r="A156" s="2">
        <v>751393.88</v>
      </c>
      <c r="B156">
        <f>151399.3501+(1.162925543*Dummy_Variables!E183)+(33.64117308*Dummy_Variables!F183)-(70986.27419*Dummy_Variables!G183)+(2851.729043*Dummy_Variables!H183)-(217.0377465*Dummy_Variables!I183)</f>
        <v>752780.24075324275</v>
      </c>
      <c r="C156">
        <f t="shared" si="2"/>
        <v>-1386.3607532427413</v>
      </c>
    </row>
    <row r="157" spans="1:3">
      <c r="A157" s="2">
        <v>450711.92</v>
      </c>
      <c r="B157">
        <f>151399.3501+(1.162925543*Dummy_Variables!E89)+(33.64117308*Dummy_Variables!F89)-(70986.27419*Dummy_Variables!G89)+(2851.729043*Dummy_Variables!H89)-(217.0377465*Dummy_Variables!I89)</f>
        <v>451974.91348945175</v>
      </c>
      <c r="C157">
        <f t="shared" si="2"/>
        <v>-1262.9934894517646</v>
      </c>
    </row>
    <row r="158" spans="1:3">
      <c r="A158" s="2">
        <v>702318.94</v>
      </c>
      <c r="B158">
        <f>151399.3501+(1.162925543*Dummy_Variables!E157)+(33.64117308*Dummy_Variables!F157)-(70986.27419*Dummy_Variables!G157)+(2851.729043*Dummy_Variables!H157)-(217.0377465*Dummy_Variables!I157)</f>
        <v>703522.00574980001</v>
      </c>
      <c r="C158">
        <f t="shared" si="2"/>
        <v>-1203.0657498000655</v>
      </c>
    </row>
    <row r="159" spans="1:3">
      <c r="A159" s="2">
        <v>761919.25</v>
      </c>
      <c r="B159">
        <f>151399.3501+(1.162925543*Dummy_Variables!E240)+(33.64117308*Dummy_Variables!F240)-(70986.27419*Dummy_Variables!G240)+(2851.729043*Dummy_Variables!H240)-(217.0377465*Dummy_Variables!I240)</f>
        <v>762905.09050452732</v>
      </c>
      <c r="C159">
        <f t="shared" si="2"/>
        <v>-985.84050452732481</v>
      </c>
    </row>
    <row r="160" spans="1:3">
      <c r="A160" s="2">
        <v>697155.3</v>
      </c>
      <c r="B160">
        <f>151399.3501+(1.162925543*Dummy_Variables!E129)+(33.64117308*Dummy_Variables!F129)-(70986.27419*Dummy_Variables!G129)+(2851.729043*Dummy_Variables!H129)-(217.0377465*Dummy_Variables!I129)</f>
        <v>697556.39757631544</v>
      </c>
      <c r="C160">
        <f t="shared" si="2"/>
        <v>-401.09757631539833</v>
      </c>
    </row>
    <row r="161" spans="1:3">
      <c r="A161" s="2">
        <v>736633.4</v>
      </c>
      <c r="B161">
        <f>151399.3501+(1.162925543*Dummy_Variables!E40)+(33.64117308*Dummy_Variables!F40)-(70986.27419*Dummy_Variables!G40)+(2851.729043*Dummy_Variables!H40)-(217.0377465*Dummy_Variables!I40)</f>
        <v>736525.37105106423</v>
      </c>
      <c r="C161">
        <f t="shared" si="2"/>
        <v>108.02894893579651</v>
      </c>
    </row>
    <row r="162" spans="1:3">
      <c r="A162" s="2">
        <v>605775.32999999996</v>
      </c>
      <c r="B162">
        <f>151399.3501+(1.162925543*Dummy_Variables!E100)+(33.64117308*Dummy_Variables!F100)-(70986.27419*Dummy_Variables!G100)+(2851.729043*Dummy_Variables!H100)-(217.0377465*Dummy_Variables!I100)</f>
        <v>605459.30322858039</v>
      </c>
      <c r="C162">
        <f t="shared" si="2"/>
        <v>316.02677141956519</v>
      </c>
    </row>
    <row r="163" spans="1:3">
      <c r="A163" s="2">
        <v>497439.82</v>
      </c>
      <c r="B163">
        <f>151399.3501+(1.162925543*Dummy_Variables!E285)+(33.64117308*Dummy_Variables!F285)-(70986.27419*Dummy_Variables!G285)+(2851.729043*Dummy_Variables!H285)-(217.0377465*Dummy_Variables!I285)</f>
        <v>496905.23152930103</v>
      </c>
      <c r="C163">
        <f t="shared" si="2"/>
        <v>534.58847069897456</v>
      </c>
    </row>
    <row r="164" spans="1:3">
      <c r="A164" s="2">
        <v>550962.93000000005</v>
      </c>
      <c r="B164">
        <f>151399.3501+(1.162925543*Dummy_Variables!E191)+(33.64117308*Dummy_Variables!F191)-(70986.27419*Dummy_Variables!G191)+(2851.729043*Dummy_Variables!H191)-(217.0377465*Dummy_Variables!I191)</f>
        <v>550301.3995613053</v>
      </c>
      <c r="C164">
        <f t="shared" si="2"/>
        <v>661.53043869475368</v>
      </c>
    </row>
    <row r="165" spans="1:3">
      <c r="A165" s="2">
        <v>735480.19</v>
      </c>
      <c r="B165">
        <f>151399.3501+(1.162925543*Dummy_Variables!E121)+(33.64117308*Dummy_Variables!F121)-(70986.27419*Dummy_Variables!G121)+(2851.729043*Dummy_Variables!H121)-(217.0377465*Dummy_Variables!I121)</f>
        <v>734705.24361095624</v>
      </c>
      <c r="C165">
        <f t="shared" si="2"/>
        <v>774.94638904370368</v>
      </c>
    </row>
    <row r="166" spans="1:3">
      <c r="A166" s="2">
        <v>730890.01</v>
      </c>
      <c r="B166">
        <f>151399.3501+(1.162925543*Dummy_Variables!E304)+(33.64117308*Dummy_Variables!F304)-(70986.27419*Dummy_Variables!G304)+(2851.729043*Dummy_Variables!H304)-(217.0377465*Dummy_Variables!I304)</f>
        <v>729940.71765752626</v>
      </c>
      <c r="C166">
        <f t="shared" si="2"/>
        <v>949.2923424737528</v>
      </c>
    </row>
    <row r="167" spans="1:3">
      <c r="A167" s="2">
        <v>780344.18</v>
      </c>
      <c r="B167">
        <f>151399.3501+(1.162925543*Dummy_Variables!E174)+(33.64117308*Dummy_Variables!F174)-(70986.27419*Dummy_Variables!G174)+(2851.729043*Dummy_Variables!H174)-(217.0377465*Dummy_Variables!I174)</f>
        <v>779381.91296352004</v>
      </c>
      <c r="C167">
        <f t="shared" si="2"/>
        <v>962.26703648001421</v>
      </c>
    </row>
    <row r="168" spans="1:3">
      <c r="A168" s="2">
        <v>670629.48</v>
      </c>
      <c r="B168">
        <f>151399.3501+(1.162925543*Dummy_Variables!E237)+(33.64117308*Dummy_Variables!F237)-(70986.27419*Dummy_Variables!G237)+(2851.729043*Dummy_Variables!H237)-(217.0377465*Dummy_Variables!I237)</f>
        <v>669169.26300967811</v>
      </c>
      <c r="C168">
        <f t="shared" si="2"/>
        <v>1460.2169903218746</v>
      </c>
    </row>
    <row r="169" spans="1:3">
      <c r="A169" s="2">
        <v>712546.38</v>
      </c>
      <c r="B169">
        <f>151399.3501+(1.162925543*Dummy_Variables!E189)+(33.64117308*Dummy_Variables!F189)-(70986.27419*Dummy_Variables!G189)+(2851.729043*Dummy_Variables!H189)-(217.0377465*Dummy_Variables!I189)</f>
        <v>709589.19583304645</v>
      </c>
      <c r="C169">
        <f t="shared" si="2"/>
        <v>2957.1841669535497</v>
      </c>
    </row>
    <row r="170" spans="1:3">
      <c r="A170" s="2">
        <v>645039.97</v>
      </c>
      <c r="B170">
        <f>151399.3501+(1.162925543*Dummy_Variables!E274)+(33.64117308*Dummy_Variables!F274)-(70986.27419*Dummy_Variables!G274)+(2851.729043*Dummy_Variables!H274)-(217.0377465*Dummy_Variables!I274)</f>
        <v>641965.85481125838</v>
      </c>
      <c r="C170">
        <f t="shared" si="2"/>
        <v>3074.1151887415908</v>
      </c>
    </row>
    <row r="171" spans="1:3">
      <c r="A171" s="2">
        <v>810446.53</v>
      </c>
      <c r="B171">
        <f>151399.3501+(1.162925543*Dummy_Variables!E210)+(33.64117308*Dummy_Variables!F210)-(70986.27419*Dummy_Variables!G210)+(2851.729043*Dummy_Variables!H210)-(217.0377465*Dummy_Variables!I210)</f>
        <v>807026.97281757416</v>
      </c>
      <c r="C171">
        <f t="shared" si="2"/>
        <v>3419.5571824258659</v>
      </c>
    </row>
    <row r="172" spans="1:3">
      <c r="A172" s="2">
        <v>756619.77</v>
      </c>
      <c r="B172">
        <f>151399.3501+(1.162925543*Dummy_Variables!E280)+(33.64117308*Dummy_Variables!F280)-(70986.27419*Dummy_Variables!G280)+(2851.729043*Dummy_Variables!H280)-(217.0377465*Dummy_Variables!I280)</f>
        <v>753153.25823410961</v>
      </c>
      <c r="C172">
        <f t="shared" si="2"/>
        <v>3466.5117658904055</v>
      </c>
    </row>
    <row r="173" spans="1:3">
      <c r="A173" s="2">
        <v>779010.94</v>
      </c>
      <c r="B173">
        <f>151399.3501+(1.162925543*Dummy_Variables!E11)+(33.64117308*Dummy_Variables!F11)-(70986.27419*Dummy_Variables!G11)+(2851.729043*Dummy_Variables!H11)-(217.0377465*Dummy_Variables!I11)</f>
        <v>775408.27455887792</v>
      </c>
      <c r="C173">
        <f t="shared" si="2"/>
        <v>3602.6654411220225</v>
      </c>
    </row>
    <row r="174" spans="1:3">
      <c r="A174" s="2">
        <v>714942.43</v>
      </c>
      <c r="B174">
        <f>151399.3501+(1.162925543*Dummy_Variables!E118)+(33.64117308*Dummy_Variables!F118)-(70986.27419*Dummy_Variables!G118)+(2851.729043*Dummy_Variables!H118)-(217.0377465*Dummy_Variables!I118)</f>
        <v>711329.48073111102</v>
      </c>
      <c r="C174">
        <f t="shared" si="2"/>
        <v>3612.9492688890314</v>
      </c>
    </row>
    <row r="175" spans="1:3">
      <c r="A175" s="2">
        <v>640666.53</v>
      </c>
      <c r="B175">
        <f>151399.3501+(1.162925543*Dummy_Variables!E236)+(33.64117308*Dummy_Variables!F236)-(70986.27419*Dummy_Variables!G236)+(2851.729043*Dummy_Variables!H236)-(217.0377465*Dummy_Variables!I236)</f>
        <v>636651.42654496152</v>
      </c>
      <c r="C175">
        <f t="shared" si="2"/>
        <v>4015.1034550385084</v>
      </c>
    </row>
    <row r="176" spans="1:3">
      <c r="A176" s="2">
        <v>536545.49</v>
      </c>
      <c r="B176">
        <f>151399.3501+(1.162925543*Dummy_Variables!E227)+(33.64117308*Dummy_Variables!F227)-(70986.27419*Dummy_Variables!G227)+(2851.729043*Dummy_Variables!H227)-(217.0377465*Dummy_Variables!I227)</f>
        <v>532319.11406778707</v>
      </c>
      <c r="C176">
        <f t="shared" si="2"/>
        <v>4226.375932212919</v>
      </c>
    </row>
    <row r="177" spans="1:3">
      <c r="A177" s="2">
        <v>783672.82</v>
      </c>
      <c r="B177">
        <f>151399.3501+(1.162925543*Dummy_Variables!E28)+(33.64117308*Dummy_Variables!F28)-(70986.27419*Dummy_Variables!G28)+(2851.729043*Dummy_Variables!H28)-(217.0377465*Dummy_Variables!I28)</f>
        <v>779119.59553668229</v>
      </c>
      <c r="C177">
        <f t="shared" si="2"/>
        <v>4553.2244633176597</v>
      </c>
    </row>
    <row r="178" spans="1:3">
      <c r="A178" s="2">
        <v>828623.85</v>
      </c>
      <c r="B178">
        <f>151399.3501+(1.162925543*Dummy_Variables!E41)+(33.64117308*Dummy_Variables!F41)-(70986.27419*Dummy_Variables!G41)+(2851.729043*Dummy_Variables!H41)-(217.0377465*Dummy_Variables!I41)</f>
        <v>823965.75955345912</v>
      </c>
      <c r="C178">
        <f t="shared" si="2"/>
        <v>4658.090446540853</v>
      </c>
    </row>
    <row r="179" spans="1:3">
      <c r="A179" s="2">
        <v>609949</v>
      </c>
      <c r="B179">
        <f>151399.3501+(1.162925543*Dummy_Variables!E288)+(33.64117308*Dummy_Variables!F288)-(70986.27419*Dummy_Variables!G288)+(2851.729043*Dummy_Variables!H288)-(217.0377465*Dummy_Variables!I288)</f>
        <v>605175.9745174197</v>
      </c>
      <c r="C179">
        <f t="shared" si="2"/>
        <v>4773.0254825802986</v>
      </c>
    </row>
    <row r="180" spans="1:3">
      <c r="A180" s="2">
        <v>712219.81</v>
      </c>
      <c r="B180">
        <f>151399.3501+(1.162925543*Dummy_Variables!E222)+(33.64117308*Dummy_Variables!F222)-(70986.27419*Dummy_Variables!G222)+(2851.729043*Dummy_Variables!H222)-(217.0377465*Dummy_Variables!I222)</f>
        <v>706742.4946792674</v>
      </c>
      <c r="C180">
        <f t="shared" si="2"/>
        <v>5477.3153207326541</v>
      </c>
    </row>
    <row r="181" spans="1:3">
      <c r="A181" s="2">
        <v>691113.62</v>
      </c>
      <c r="B181">
        <f>151399.3501+(1.162925543*Dummy_Variables!E98)+(33.64117308*Dummy_Variables!F98)-(70986.27419*Dummy_Variables!G98)+(2851.729043*Dummy_Variables!H98)-(217.0377465*Dummy_Variables!I98)</f>
        <v>685529.63669301406</v>
      </c>
      <c r="C181">
        <f t="shared" si="2"/>
        <v>5583.9833069859305</v>
      </c>
    </row>
    <row r="182" spans="1:3">
      <c r="A182" s="2">
        <v>605751.32999999996</v>
      </c>
      <c r="B182">
        <f>151399.3501+(1.162925543*Dummy_Variables!E263)+(33.64117308*Dummy_Variables!F263)-(70986.27419*Dummy_Variables!G263)+(2851.729043*Dummy_Variables!H263)-(217.0377465*Dummy_Variables!I263)</f>
        <v>599605.29954792256</v>
      </c>
      <c r="C182">
        <f t="shared" si="2"/>
        <v>6146.0304520773934</v>
      </c>
    </row>
    <row r="183" spans="1:3">
      <c r="A183" s="2">
        <v>647953.78</v>
      </c>
      <c r="B183">
        <f>151399.3501+(1.162925543*Dummy_Variables!E252)+(33.64117308*Dummy_Variables!F252)-(70986.27419*Dummy_Variables!G252)+(2851.729043*Dummy_Variables!H252)-(217.0377465*Dummy_Variables!I252)</f>
        <v>641187.47138836805</v>
      </c>
      <c r="C183">
        <f t="shared" si="2"/>
        <v>6766.3086116319755</v>
      </c>
    </row>
    <row r="184" spans="1:3">
      <c r="A184" s="2">
        <v>605178</v>
      </c>
      <c r="B184">
        <f>151399.3501+(1.162925543*Dummy_Variables!E45)+(33.64117308*Dummy_Variables!F45)-(70986.27419*Dummy_Variables!G45)+(2851.729043*Dummy_Variables!H45)-(217.0377465*Dummy_Variables!I45)</f>
        <v>598406.67111365194</v>
      </c>
      <c r="C184">
        <f t="shared" si="2"/>
        <v>6771.3288863480557</v>
      </c>
    </row>
    <row r="185" spans="1:3">
      <c r="A185" s="2">
        <v>616069.41</v>
      </c>
      <c r="B185">
        <f>151399.3501+(1.162925543*Dummy_Variables!E74)+(33.64117308*Dummy_Variables!F74)-(70986.27419*Dummy_Variables!G74)+(2851.729043*Dummy_Variables!H74)-(217.0377465*Dummy_Variables!I74)</f>
        <v>609269.7209831028</v>
      </c>
      <c r="C185">
        <f t="shared" si="2"/>
        <v>6799.6890168972313</v>
      </c>
    </row>
    <row r="186" spans="1:3">
      <c r="A186" s="2">
        <v>802001.68</v>
      </c>
      <c r="B186">
        <f>151399.3501+(1.162925543*Dummy_Variables!E246)+(33.64117308*Dummy_Variables!F246)-(70986.27419*Dummy_Variables!G246)+(2851.729043*Dummy_Variables!H246)-(217.0377465*Dummy_Variables!I246)</f>
        <v>794972.1359923745</v>
      </c>
      <c r="C186">
        <f t="shared" si="2"/>
        <v>7029.5440076255472</v>
      </c>
    </row>
    <row r="187" spans="1:3">
      <c r="A187" s="2">
        <v>565810.99</v>
      </c>
      <c r="B187">
        <f>151399.3501+(1.162925543*Dummy_Variables!E25)+(33.64117308*Dummy_Variables!F25)-(70986.27419*Dummy_Variables!G25)+(2851.729043*Dummy_Variables!H25)-(217.0377465*Dummy_Variables!I25)</f>
        <v>558569.56650336343</v>
      </c>
      <c r="C187">
        <f t="shared" si="2"/>
        <v>7241.423496636562</v>
      </c>
    </row>
    <row r="188" spans="1:3">
      <c r="A188" s="2">
        <v>605023.87</v>
      </c>
      <c r="B188">
        <f>151399.3501+(1.162925543*Dummy_Variables!E72)+(33.64117308*Dummy_Variables!F72)-(70986.27419*Dummy_Variables!G72)+(2851.729043*Dummy_Variables!H72)-(217.0377465*Dummy_Variables!I72)</f>
        <v>597593.01165000827</v>
      </c>
      <c r="C188">
        <f t="shared" si="2"/>
        <v>7430.8583499917295</v>
      </c>
    </row>
    <row r="189" spans="1:3">
      <c r="A189" s="2">
        <v>740496.65</v>
      </c>
      <c r="B189">
        <f>151399.3501+(1.162925543*Dummy_Variables!E69)+(33.64117308*Dummy_Variables!F69)-(70986.27419*Dummy_Variables!G69)+(2851.729043*Dummy_Variables!H69)-(217.0377465*Dummy_Variables!I69)</f>
        <v>732976.09722322121</v>
      </c>
      <c r="C189">
        <f t="shared" si="2"/>
        <v>7520.5527767788153</v>
      </c>
    </row>
    <row r="190" spans="1:3">
      <c r="A190" s="2">
        <v>585365.73</v>
      </c>
      <c r="B190">
        <f>151399.3501+(1.162925543*Dummy_Variables!E49)+(33.64117308*Dummy_Variables!F49)-(70986.27419*Dummy_Variables!G49)+(2851.729043*Dummy_Variables!H49)-(217.0377465*Dummy_Variables!I49)</f>
        <v>577354.77425142506</v>
      </c>
      <c r="C190">
        <f t="shared" si="2"/>
        <v>8010.9557485749247</v>
      </c>
    </row>
    <row r="191" spans="1:3">
      <c r="A191" s="2">
        <v>763159.92</v>
      </c>
      <c r="B191">
        <f>151399.3501+(1.162925543*Dummy_Variables!E245)+(33.64117308*Dummy_Variables!F245)-(70986.27419*Dummy_Variables!G245)+(2851.729043*Dummy_Variables!H245)-(217.0377465*Dummy_Variables!I245)</f>
        <v>754418.31084608263</v>
      </c>
      <c r="C191">
        <f t="shared" si="2"/>
        <v>8741.6091539174085</v>
      </c>
    </row>
    <row r="192" spans="1:3">
      <c r="A192" s="2">
        <v>834017.02</v>
      </c>
      <c r="B192">
        <f>151399.3501+(1.162925543*Dummy_Variables!E17)+(33.64117308*Dummy_Variables!F17)-(70986.27419*Dummy_Variables!G17)+(2851.729043*Dummy_Variables!H17)-(217.0377465*Dummy_Variables!I17)</f>
        <v>824740.07143231062</v>
      </c>
      <c r="C192">
        <f t="shared" si="2"/>
        <v>9276.9485676893964</v>
      </c>
    </row>
    <row r="193" spans="1:3">
      <c r="A193" s="2">
        <v>702052.47</v>
      </c>
      <c r="B193">
        <f>151399.3501+(1.162925543*Dummy_Variables!E314)+(33.64117308*Dummy_Variables!F314)-(70986.27419*Dummy_Variables!G314)+(2851.729043*Dummy_Variables!H314)-(217.0377465*Dummy_Variables!I314)</f>
        <v>692711.97071249341</v>
      </c>
      <c r="C193">
        <f t="shared" si="2"/>
        <v>9340.4992875065655</v>
      </c>
    </row>
    <row r="194" spans="1:3">
      <c r="A194" s="2">
        <v>698492.67</v>
      </c>
      <c r="B194">
        <f>151399.3501+(1.162925543*Dummy_Variables!E155)+(33.64117308*Dummy_Variables!F155)-(70986.27419*Dummy_Variables!G155)+(2851.729043*Dummy_Variables!H155)-(217.0377465*Dummy_Variables!I155)</f>
        <v>689107.64416132926</v>
      </c>
      <c r="C194">
        <f t="shared" ref="C194:C257" si="3">A194-B194</f>
        <v>9385.0258386707865</v>
      </c>
    </row>
    <row r="195" spans="1:3">
      <c r="A195" s="2">
        <v>498970.32</v>
      </c>
      <c r="B195">
        <f>151399.3501+(1.162925543*Dummy_Variables!E296)+(33.64117308*Dummy_Variables!F296)-(70986.27419*Dummy_Variables!G296)+(2851.729043*Dummy_Variables!H296)-(217.0377465*Dummy_Variables!I296)</f>
        <v>489019.80803322198</v>
      </c>
      <c r="C195">
        <f t="shared" si="3"/>
        <v>9950.5119667780236</v>
      </c>
    </row>
    <row r="196" spans="1:3">
      <c r="A196" s="2">
        <v>806615.54</v>
      </c>
      <c r="B196">
        <f>151399.3501+(1.162925543*Dummy_Variables!E8)+(33.64117308*Dummy_Variables!F8)-(70986.27419*Dummy_Variables!G8)+(2851.729043*Dummy_Variables!H8)-(217.0377465*Dummy_Variables!I8)</f>
        <v>796583.83396485331</v>
      </c>
      <c r="C196">
        <f t="shared" si="3"/>
        <v>10031.706035146723</v>
      </c>
    </row>
    <row r="197" spans="1:3">
      <c r="A197" s="2">
        <v>528852.62</v>
      </c>
      <c r="B197">
        <f>151399.3501+(1.162925543*Dummy_Variables!E262)+(33.64117308*Dummy_Variables!F262)-(70986.27419*Dummy_Variables!G262)+(2851.729043*Dummy_Variables!H262)-(217.0377465*Dummy_Variables!I262)</f>
        <v>518716.93628327793</v>
      </c>
      <c r="C197">
        <f t="shared" si="3"/>
        <v>10135.683716722066</v>
      </c>
    </row>
    <row r="198" spans="1:3">
      <c r="A198" s="2">
        <v>647512.85</v>
      </c>
      <c r="B198">
        <f>151399.3501+(1.162925543*Dummy_Variables!E233)+(33.64117308*Dummy_Variables!F233)-(70986.27419*Dummy_Variables!G233)+(2851.729043*Dummy_Variables!H233)-(217.0377465*Dummy_Variables!I233)</f>
        <v>637058.68700297747</v>
      </c>
      <c r="C198">
        <f t="shared" si="3"/>
        <v>10454.162997022504</v>
      </c>
    </row>
    <row r="199" spans="1:3">
      <c r="A199" s="2">
        <v>836908.24</v>
      </c>
      <c r="B199">
        <f>151399.3501+(1.162925543*Dummy_Variables!E217)+(33.64117308*Dummy_Variables!F217)-(70986.27419*Dummy_Variables!G217)+(2851.729043*Dummy_Variables!H217)-(217.0377465*Dummy_Variables!I217)</f>
        <v>825758.05091680191</v>
      </c>
      <c r="C199">
        <f t="shared" si="3"/>
        <v>11150.189083198085</v>
      </c>
    </row>
    <row r="200" spans="1:3">
      <c r="A200" s="2">
        <v>533121.26</v>
      </c>
      <c r="B200">
        <f>151399.3501+(1.162925543*Dummy_Variables!E295)+(33.64117308*Dummy_Variables!F295)-(70986.27419*Dummy_Variables!G295)+(2851.729043*Dummy_Variables!H295)-(217.0377465*Dummy_Variables!I295)</f>
        <v>521862.89920799388</v>
      </c>
      <c r="C200">
        <f t="shared" si="3"/>
        <v>11258.360792006133</v>
      </c>
    </row>
    <row r="201" spans="1:3">
      <c r="A201" s="2">
        <v>764949</v>
      </c>
      <c r="B201">
        <f>151399.3501+(1.162925543*Dummy_Variables!E254)+(33.64117308*Dummy_Variables!F254)-(70986.27419*Dummy_Variables!G254)+(2851.729043*Dummy_Variables!H254)-(217.0377465*Dummy_Variables!I254)</f>
        <v>753455.05015943735</v>
      </c>
      <c r="C201">
        <f t="shared" si="3"/>
        <v>11493.949840562651</v>
      </c>
    </row>
    <row r="202" spans="1:3">
      <c r="A202" s="2">
        <v>712868.35</v>
      </c>
      <c r="B202">
        <f>151399.3501+(1.162925543*Dummy_Variables!E151)+(33.64117308*Dummy_Variables!F151)-(70986.27419*Dummy_Variables!G151)+(2851.729043*Dummy_Variables!H151)-(217.0377465*Dummy_Variables!I151)</f>
        <v>701358.31888694747</v>
      </c>
      <c r="C202">
        <f t="shared" si="3"/>
        <v>11510.031113052508</v>
      </c>
    </row>
    <row r="203" spans="1:3">
      <c r="A203" s="2">
        <v>622892.42000000004</v>
      </c>
      <c r="B203">
        <f>151399.3501+(1.162925543*Dummy_Variables!E219)+(33.64117308*Dummy_Variables!F219)-(70986.27419*Dummy_Variables!G219)+(2851.729043*Dummy_Variables!H219)-(217.0377465*Dummy_Variables!I219)</f>
        <v>610839.31367615028</v>
      </c>
      <c r="C203">
        <f t="shared" si="3"/>
        <v>12053.106323849759</v>
      </c>
    </row>
    <row r="204" spans="1:3">
      <c r="A204" s="2">
        <v>712375.77</v>
      </c>
      <c r="B204">
        <f>151399.3501+(1.162925543*Dummy_Variables!E316)+(33.64117308*Dummy_Variables!F316)-(70986.27419*Dummy_Variables!G316)+(2851.729043*Dummy_Variables!H316)-(217.0377465*Dummy_Variables!I316)</f>
        <v>699300.56488919794</v>
      </c>
      <c r="C204">
        <f t="shared" si="3"/>
        <v>13075.205110802082</v>
      </c>
    </row>
    <row r="205" spans="1:3">
      <c r="A205" s="2">
        <v>746115.59</v>
      </c>
      <c r="B205">
        <f>151399.3501+(1.162925543*Dummy_Variables!E260)+(33.64117308*Dummy_Variables!F260)-(70986.27419*Dummy_Variables!G260)+(2851.729043*Dummy_Variables!H260)-(217.0377465*Dummy_Variables!I260)</f>
        <v>732621.40474036161</v>
      </c>
      <c r="C205">
        <f t="shared" si="3"/>
        <v>13494.185259638354</v>
      </c>
    </row>
    <row r="206" spans="1:3">
      <c r="A206" s="2">
        <v>532644.46</v>
      </c>
      <c r="B206">
        <f>151399.3501+(1.162925543*Dummy_Variables!E43)+(33.64117308*Dummy_Variables!F43)-(70986.27419*Dummy_Variables!G43)+(2851.729043*Dummy_Variables!H43)-(217.0377465*Dummy_Variables!I43)</f>
        <v>518467.38645645685</v>
      </c>
      <c r="C206">
        <f t="shared" si="3"/>
        <v>14177.073543543112</v>
      </c>
    </row>
    <row r="207" spans="1:3">
      <c r="A207" s="2">
        <v>606783.67000000004</v>
      </c>
      <c r="B207">
        <f>151399.3501+(1.162925543*Dummy_Variables!E250)+(33.64117308*Dummy_Variables!F250)-(70986.27419*Dummy_Variables!G250)+(2851.729043*Dummy_Variables!H250)-(217.0377465*Dummy_Variables!I250)</f>
        <v>592536.25909860281</v>
      </c>
      <c r="C207">
        <f t="shared" si="3"/>
        <v>14247.410901397234</v>
      </c>
    </row>
    <row r="208" spans="1:3">
      <c r="A208" s="2">
        <v>701641.97</v>
      </c>
      <c r="B208">
        <f>151399.3501+(1.162925543*Dummy_Variables!E29)+(33.64117308*Dummy_Variables!F29)-(70986.27419*Dummy_Variables!G29)+(2851.729043*Dummy_Variables!H29)-(217.0377465*Dummy_Variables!I29)</f>
        <v>687148.53951805935</v>
      </c>
      <c r="C208">
        <f t="shared" si="3"/>
        <v>14493.430481940624</v>
      </c>
    </row>
    <row r="209" spans="1:3">
      <c r="A209" s="2">
        <v>606278.30000000005</v>
      </c>
      <c r="B209">
        <f>151399.3501+(1.162925543*Dummy_Variables!E221)+(33.64117308*Dummy_Variables!F221)-(70986.27419*Dummy_Variables!G221)+(2851.729043*Dummy_Variables!H221)-(217.0377465*Dummy_Variables!I221)</f>
        <v>591727.63737277454</v>
      </c>
      <c r="C209">
        <f t="shared" si="3"/>
        <v>14550.662627225509</v>
      </c>
    </row>
    <row r="210" spans="1:3">
      <c r="A210" s="2">
        <v>592195.85</v>
      </c>
      <c r="B210">
        <f>151399.3501+(1.162925543*Dummy_Variables!E42)+(33.64117308*Dummy_Variables!F42)-(70986.27419*Dummy_Variables!G42)+(2851.729043*Dummy_Variables!H42)-(217.0377465*Dummy_Variables!I42)</f>
        <v>577591.02716385643</v>
      </c>
      <c r="C210">
        <f t="shared" si="3"/>
        <v>14604.822836143547</v>
      </c>
    </row>
    <row r="211" spans="1:3">
      <c r="A211" s="2">
        <v>729440.45</v>
      </c>
      <c r="B211">
        <f>151399.3501+(1.162925543*Dummy_Variables!E253)+(33.64117308*Dummy_Variables!F253)-(70986.27419*Dummy_Variables!G253)+(2851.729043*Dummy_Variables!H253)-(217.0377465*Dummy_Variables!I253)</f>
        <v>714332.14565342036</v>
      </c>
      <c r="C211">
        <f t="shared" si="3"/>
        <v>15108.304346579593</v>
      </c>
    </row>
    <row r="212" spans="1:3">
      <c r="A212" s="2">
        <v>820729.29</v>
      </c>
      <c r="B212">
        <f>151399.3501+(1.162925543*Dummy_Variables!E169)+(33.64117308*Dummy_Variables!F169)-(70986.27419*Dummy_Variables!G169)+(2851.729043*Dummy_Variables!H169)-(217.0377465*Dummy_Variables!I169)</f>
        <v>805395.68531451211</v>
      </c>
      <c r="C212">
        <f t="shared" si="3"/>
        <v>15333.604685487924</v>
      </c>
    </row>
    <row r="213" spans="1:3">
      <c r="A213" s="2">
        <v>737070.18</v>
      </c>
      <c r="B213">
        <f>151399.3501+(1.162925543*Dummy_Variables!E241)+(33.64117308*Dummy_Variables!F241)-(70986.27419*Dummy_Variables!G241)+(2851.729043*Dummy_Variables!H241)-(217.0377465*Dummy_Variables!I241)</f>
        <v>720744.09601209825</v>
      </c>
      <c r="C213">
        <f t="shared" si="3"/>
        <v>16326.083987901802</v>
      </c>
    </row>
    <row r="214" spans="1:3">
      <c r="A214" s="2">
        <v>625672.86</v>
      </c>
      <c r="B214">
        <f>151399.3501+(1.162925543*Dummy_Variables!E52)+(33.64117308*Dummy_Variables!F52)-(70986.27419*Dummy_Variables!G52)+(2851.729043*Dummy_Variables!H52)-(217.0377465*Dummy_Variables!I52)</f>
        <v>609300.65276073257</v>
      </c>
      <c r="C214">
        <f t="shared" si="3"/>
        <v>16372.207239267416</v>
      </c>
    </row>
    <row r="215" spans="1:3">
      <c r="A215" s="2">
        <v>646559.71</v>
      </c>
      <c r="B215">
        <f>151399.3501+(1.162925543*Dummy_Variables!E141)+(33.64117308*Dummy_Variables!F141)-(70986.27419*Dummy_Variables!G141)+(2851.729043*Dummy_Variables!H141)-(217.0377465*Dummy_Variables!I141)</f>
        <v>630044.74753950885</v>
      </c>
      <c r="C215">
        <f t="shared" si="3"/>
        <v>16514.962460491108</v>
      </c>
    </row>
    <row r="216" spans="1:3">
      <c r="A216" s="2">
        <v>844710.67</v>
      </c>
      <c r="B216">
        <f>151399.3501+(1.162925543*Dummy_Variables!E317)+(33.64117308*Dummy_Variables!F317)-(70986.27419*Dummy_Variables!G317)+(2851.729043*Dummy_Variables!H317)-(217.0377465*Dummy_Variables!I317)</f>
        <v>826159.81270620017</v>
      </c>
      <c r="C216">
        <f t="shared" si="3"/>
        <v>18550.857293799869</v>
      </c>
    </row>
    <row r="217" spans="1:3">
      <c r="A217" s="2">
        <v>574436.29</v>
      </c>
      <c r="B217">
        <f>151399.3501+(1.162925543*Dummy_Variables!E86)+(33.64117308*Dummy_Variables!F86)-(70986.27419*Dummy_Variables!G86)+(2851.729043*Dummy_Variables!H86)-(217.0377465*Dummy_Variables!I86)</f>
        <v>555667.60664745374</v>
      </c>
      <c r="C217">
        <f t="shared" si="3"/>
        <v>18768.683352546301</v>
      </c>
    </row>
    <row r="218" spans="1:3">
      <c r="A218" s="2">
        <v>715097.57</v>
      </c>
      <c r="B218">
        <f>151399.3501+(1.162925543*Dummy_Variables!E143)+(33.64117308*Dummy_Variables!F143)-(70986.27419*Dummy_Variables!G143)+(2851.729043*Dummy_Variables!H143)-(217.0377465*Dummy_Variables!I143)</f>
        <v>696018.41656157409</v>
      </c>
      <c r="C218">
        <f t="shared" si="3"/>
        <v>19079.153438425856</v>
      </c>
    </row>
    <row r="219" spans="1:3">
      <c r="A219" s="2">
        <v>569100.78</v>
      </c>
      <c r="B219">
        <f>151399.3501+(1.162925543*Dummy_Variables!E85)+(33.64117308*Dummy_Variables!F85)-(70986.27419*Dummy_Variables!G85)+(2851.729043*Dummy_Variables!H85)-(217.0377465*Dummy_Variables!I85)</f>
        <v>549821.77971888054</v>
      </c>
      <c r="C219">
        <f t="shared" si="3"/>
        <v>19279.000281119486</v>
      </c>
    </row>
    <row r="220" spans="1:3">
      <c r="A220" s="2">
        <v>555929.4</v>
      </c>
      <c r="B220">
        <f>151399.3501+(1.162925543*Dummy_Variables!E24)+(33.64117308*Dummy_Variables!F24)-(70986.27419*Dummy_Variables!G24)+(2851.729043*Dummy_Variables!H24)-(217.0377465*Dummy_Variables!I24)</f>
        <v>535989.00045865192</v>
      </c>
      <c r="C220">
        <f t="shared" si="3"/>
        <v>19940.399541348103</v>
      </c>
    </row>
    <row r="221" spans="1:3">
      <c r="A221" s="2">
        <v>603297.56999999995</v>
      </c>
      <c r="B221">
        <f>151399.3501+(1.162925543*Dummy_Variables!E51)+(33.64117308*Dummy_Variables!F51)-(70986.27419*Dummy_Variables!G51)+(2851.729043*Dummy_Variables!H51)-(217.0377465*Dummy_Variables!I51)</f>
        <v>583000.71377573744</v>
      </c>
      <c r="C221">
        <f t="shared" si="3"/>
        <v>20296.856224262505</v>
      </c>
    </row>
    <row r="222" spans="1:3">
      <c r="A222" s="2">
        <v>745580.51</v>
      </c>
      <c r="B222">
        <f>151399.3501+(1.162925543*Dummy_Variables!E268)+(33.64117308*Dummy_Variables!F268)-(70986.27419*Dummy_Variables!G268)+(2851.729043*Dummy_Variables!H268)-(217.0377465*Dummy_Variables!I268)</f>
        <v>725050.2313849678</v>
      </c>
      <c r="C222">
        <f t="shared" si="3"/>
        <v>20530.278615032206</v>
      </c>
    </row>
    <row r="223" spans="1:3">
      <c r="A223" s="2">
        <v>664162.49</v>
      </c>
      <c r="B223">
        <f>151399.3501+(1.162925543*Dummy_Variables!E111)+(33.64117308*Dummy_Variables!F111)-(70986.27419*Dummy_Variables!G111)+(2851.729043*Dummy_Variables!H111)-(217.0377465*Dummy_Variables!I111)</f>
        <v>642857.52289751312</v>
      </c>
      <c r="C223">
        <f t="shared" si="3"/>
        <v>21304.967102486873</v>
      </c>
    </row>
    <row r="224" spans="1:3">
      <c r="A224" s="2">
        <v>849018.3</v>
      </c>
      <c r="B224">
        <f>151399.3501+(1.162925543*Dummy_Variables!E130)+(33.64117308*Dummy_Variables!F130)-(70986.27419*Dummy_Variables!G130)+(2851.729043*Dummy_Variables!H130)-(217.0377465*Dummy_Variables!I130)</f>
        <v>827373.38299964764</v>
      </c>
      <c r="C224">
        <f t="shared" si="3"/>
        <v>21644.917000352405</v>
      </c>
    </row>
    <row r="225" spans="1:3">
      <c r="A225" s="2">
        <v>529598.93999999994</v>
      </c>
      <c r="B225">
        <f>151399.3501+(1.162925543*Dummy_Variables!E229)+(33.64117308*Dummy_Variables!F229)-(70986.27419*Dummy_Variables!G229)+(2851.729043*Dummy_Variables!H229)-(217.0377465*Dummy_Variables!I229)</f>
        <v>507719.67577398731</v>
      </c>
      <c r="C225">
        <f t="shared" si="3"/>
        <v>21879.26422601263</v>
      </c>
    </row>
    <row r="226" spans="1:3">
      <c r="A226" s="2">
        <v>738548.42</v>
      </c>
      <c r="B226">
        <f>151399.3501+(1.162925543*Dummy_Variables!E279)+(33.64117308*Dummy_Variables!F279)-(70986.27419*Dummy_Variables!G279)+(2851.729043*Dummy_Variables!H279)-(217.0377465*Dummy_Variables!I279)</f>
        <v>716343.99939238525</v>
      </c>
      <c r="C226">
        <f t="shared" si="3"/>
        <v>22204.420607614797</v>
      </c>
    </row>
    <row r="227" spans="1:3">
      <c r="A227" s="2">
        <v>729424.42</v>
      </c>
      <c r="B227">
        <f>151399.3501+(1.162925543*Dummy_Variables!E290)+(33.64117308*Dummy_Variables!F290)-(70986.27419*Dummy_Variables!G290)+(2851.729043*Dummy_Variables!H290)-(217.0377465*Dummy_Variables!I290)</f>
        <v>706742.07680753875</v>
      </c>
      <c r="C227">
        <f t="shared" si="3"/>
        <v>22682.343192461296</v>
      </c>
    </row>
    <row r="228" spans="1:3">
      <c r="A228" s="2">
        <v>678311.17</v>
      </c>
      <c r="B228">
        <f>151399.3501+(1.162925543*Dummy_Variables!E187)+(33.64117308*Dummy_Variables!F187)-(70986.27419*Dummy_Variables!G187)+(2851.729043*Dummy_Variables!H187)-(217.0377465*Dummy_Variables!I187)</f>
        <v>655235.81621186878</v>
      </c>
      <c r="C228">
        <f t="shared" si="3"/>
        <v>23075.353788131266</v>
      </c>
    </row>
    <row r="229" spans="1:3">
      <c r="A229" s="2">
        <v>714083.68</v>
      </c>
      <c r="B229">
        <f>151399.3501+(1.162925543*Dummy_Variables!E284)+(33.64117308*Dummy_Variables!F284)-(70986.27419*Dummy_Variables!G284)+(2851.729043*Dummy_Variables!H284)-(217.0377465*Dummy_Variables!I284)</f>
        <v>689768.74362102523</v>
      </c>
      <c r="C229">
        <f t="shared" si="3"/>
        <v>24314.936378974817</v>
      </c>
    </row>
    <row r="230" spans="1:3">
      <c r="A230" s="2">
        <v>771129.07</v>
      </c>
      <c r="B230">
        <f>151399.3501+(1.162925543*Dummy_Variables!E313)+(33.64117308*Dummy_Variables!F313)-(70986.27419*Dummy_Variables!G313)+(2851.729043*Dummy_Variables!H313)-(217.0377465*Dummy_Variables!I313)</f>
        <v>746768.02471627295</v>
      </c>
      <c r="C230">
        <f t="shared" si="3"/>
        <v>24361.045283726999</v>
      </c>
    </row>
    <row r="231" spans="1:3">
      <c r="A231" s="2">
        <v>828219.67</v>
      </c>
      <c r="B231">
        <f>151399.3501+(1.162925543*Dummy_Variables!E244)+(33.64117308*Dummy_Variables!F244)-(70986.27419*Dummy_Variables!G244)+(2851.729043*Dummy_Variables!H244)-(217.0377465*Dummy_Variables!I244)</f>
        <v>803739.22901480459</v>
      </c>
      <c r="C231">
        <f t="shared" si="3"/>
        <v>24480.440985195455</v>
      </c>
    </row>
    <row r="232" spans="1:3">
      <c r="A232" s="2">
        <v>695098.51</v>
      </c>
      <c r="B232">
        <f>151399.3501+(1.162925543*Dummy_Variables!E145)+(33.64117308*Dummy_Variables!F145)-(70986.27419*Dummy_Variables!G145)+(2851.729043*Dummy_Variables!H145)-(217.0377465*Dummy_Variables!I145)</f>
        <v>669760.15708211914</v>
      </c>
      <c r="C232">
        <f t="shared" si="3"/>
        <v>25338.352917880868</v>
      </c>
    </row>
    <row r="233" spans="1:3">
      <c r="A233" s="2">
        <v>762328.31</v>
      </c>
      <c r="B233">
        <f>151399.3501+(1.162925543*Dummy_Variables!E269)+(33.64117308*Dummy_Variables!F269)-(70986.27419*Dummy_Variables!G269)+(2851.729043*Dummy_Variables!H269)-(217.0377465*Dummy_Variables!I269)</f>
        <v>736797.40903641353</v>
      </c>
      <c r="C233">
        <f t="shared" si="3"/>
        <v>25530.900963586522</v>
      </c>
    </row>
    <row r="234" spans="1:3">
      <c r="A234" s="2">
        <v>743348.84</v>
      </c>
      <c r="B234">
        <f>151399.3501+(1.162925543*Dummy_Variables!E139)+(33.64117308*Dummy_Variables!F139)-(70986.27419*Dummy_Variables!G139)+(2851.729043*Dummy_Variables!H139)-(217.0377465*Dummy_Variables!I139)</f>
        <v>717815.37976071076</v>
      </c>
      <c r="C234">
        <f t="shared" si="3"/>
        <v>25533.460239289212</v>
      </c>
    </row>
    <row r="235" spans="1:3">
      <c r="A235" s="2">
        <v>614800.09</v>
      </c>
      <c r="B235">
        <f>151399.3501+(1.162925543*Dummy_Variables!E48)+(33.64117308*Dummy_Variables!F48)-(70986.27419*Dummy_Variables!G48)+(2851.729043*Dummy_Variables!H48)-(217.0377465*Dummy_Variables!I48)</f>
        <v>588768.132371502</v>
      </c>
      <c r="C235">
        <f t="shared" si="3"/>
        <v>26031.95762849797</v>
      </c>
    </row>
    <row r="236" spans="1:3">
      <c r="A236" s="2">
        <v>674774.09</v>
      </c>
      <c r="B236">
        <f>151399.3501+(1.162925543*Dummy_Variables!E73)+(33.64117308*Dummy_Variables!F73)-(70986.27419*Dummy_Variables!G73)+(2851.729043*Dummy_Variables!H73)-(217.0377465*Dummy_Variables!I73)</f>
        <v>648373.12225902989</v>
      </c>
      <c r="C236">
        <f t="shared" si="3"/>
        <v>26400.967740970082</v>
      </c>
    </row>
    <row r="237" spans="1:3">
      <c r="A237" s="2">
        <v>887537.75</v>
      </c>
      <c r="B237">
        <f>151399.3501+(1.162925543*Dummy_Variables!E178)+(33.64117308*Dummy_Variables!F178)-(70986.27419*Dummy_Variables!G178)+(2851.729043*Dummy_Variables!H178)-(217.0377465*Dummy_Variables!I178)</f>
        <v>860905.56788548094</v>
      </c>
      <c r="C237">
        <f t="shared" si="3"/>
        <v>26632.182114519062</v>
      </c>
    </row>
    <row r="238" spans="1:3">
      <c r="A238" s="2">
        <v>625993.82999999996</v>
      </c>
      <c r="B238">
        <f>151399.3501+(1.162925543*Dummy_Variables!E190)+(33.64117308*Dummy_Variables!F190)-(70986.27419*Dummy_Variables!G190)+(2851.729043*Dummy_Variables!H190)-(217.0377465*Dummy_Variables!I190)</f>
        <v>599048.88769273169</v>
      </c>
      <c r="C238">
        <f t="shared" si="3"/>
        <v>26944.942307268269</v>
      </c>
    </row>
    <row r="239" spans="1:3">
      <c r="A239" s="2">
        <v>654317.09</v>
      </c>
      <c r="B239">
        <f>151399.3501+(1.162925543*Dummy_Variables!E123)+(33.64117308*Dummy_Variables!F123)-(70986.27419*Dummy_Variables!G123)+(2851.729043*Dummy_Variables!H123)-(217.0377465*Dummy_Variables!I123)</f>
        <v>626971.56864545436</v>
      </c>
      <c r="C239">
        <f t="shared" si="3"/>
        <v>27345.521354545606</v>
      </c>
    </row>
    <row r="240" spans="1:3">
      <c r="A240" s="2">
        <v>487738.26</v>
      </c>
      <c r="B240">
        <f>151399.3501+(1.162925543*Dummy_Variables!E297)+(33.64117308*Dummy_Variables!F297)-(70986.27419*Dummy_Variables!G297)+(2851.729043*Dummy_Variables!H297)-(217.0377465*Dummy_Variables!I297)</f>
        <v>460076.65055961604</v>
      </c>
      <c r="C240">
        <f t="shared" si="3"/>
        <v>27661.609440383967</v>
      </c>
    </row>
    <row r="241" spans="1:3">
      <c r="A241" s="2">
        <v>769702.76</v>
      </c>
      <c r="B241">
        <f>151399.3501+(1.162925543*Dummy_Variables!E172)+(33.64117308*Dummy_Variables!F172)-(70986.27419*Dummy_Variables!G172)+(2851.729043*Dummy_Variables!H172)-(217.0377465*Dummy_Variables!I172)</f>
        <v>741956.59664420842</v>
      </c>
      <c r="C241">
        <f t="shared" si="3"/>
        <v>27746.163355791592</v>
      </c>
    </row>
    <row r="242" spans="1:3">
      <c r="A242" s="2">
        <v>767792.94</v>
      </c>
      <c r="B242">
        <f>151399.3501+(1.162925543*Dummy_Variables!E267)+(33.64117308*Dummy_Variables!F267)-(70986.27419*Dummy_Variables!G267)+(2851.729043*Dummy_Variables!H267)-(217.0377465*Dummy_Variables!I267)</f>
        <v>738279.81749214535</v>
      </c>
      <c r="C242">
        <f t="shared" si="3"/>
        <v>29513.122507854598</v>
      </c>
    </row>
    <row r="243" spans="1:3">
      <c r="A243" s="2">
        <v>636613.23</v>
      </c>
      <c r="B243">
        <f>151399.3501+(1.162925543*Dummy_Variables!E265)+(33.64117308*Dummy_Variables!F265)-(70986.27419*Dummy_Variables!G265)+(2851.729043*Dummy_Variables!H265)-(217.0377465*Dummy_Variables!I265)</f>
        <v>607042.38759015524</v>
      </c>
      <c r="C243">
        <f t="shared" si="3"/>
        <v>29570.842409844743</v>
      </c>
    </row>
    <row r="244" spans="1:3">
      <c r="A244" s="2">
        <v>697888.09</v>
      </c>
      <c r="B244">
        <f>151399.3501+(1.162925543*Dummy_Variables!E259)+(33.64117308*Dummy_Variables!F259)-(70986.27419*Dummy_Variables!G259)+(2851.729043*Dummy_Variables!H259)-(217.0377465*Dummy_Variables!I259)</f>
        <v>667284.72698215349</v>
      </c>
      <c r="C244">
        <f t="shared" si="3"/>
        <v>30603.363017846481</v>
      </c>
    </row>
    <row r="245" spans="1:3">
      <c r="A245" s="2">
        <v>641564.6</v>
      </c>
      <c r="B245">
        <f>151399.3501+(1.162925543*Dummy_Variables!E226)+(33.64117308*Dummy_Variables!F226)-(70986.27419*Dummy_Variables!G226)+(2851.729043*Dummy_Variables!H226)-(217.0377465*Dummy_Variables!I226)</f>
        <v>610773.54987574345</v>
      </c>
      <c r="C245">
        <f t="shared" si="3"/>
        <v>30791.050124256522</v>
      </c>
    </row>
    <row r="246" spans="1:3">
      <c r="A246" s="2">
        <v>812152.6</v>
      </c>
      <c r="B246">
        <f>151399.3501+(1.162925543*Dummy_Variables!E214)+(33.64117308*Dummy_Variables!F214)-(70986.27419*Dummy_Variables!G214)+(2851.729043*Dummy_Variables!H214)-(217.0377465*Dummy_Variables!I214)</f>
        <v>779677.37148360081</v>
      </c>
      <c r="C246">
        <f t="shared" si="3"/>
        <v>32475.228516399162</v>
      </c>
    </row>
    <row r="247" spans="1:3">
      <c r="A247" s="2">
        <v>739852.58</v>
      </c>
      <c r="B247">
        <f>151399.3501+(1.162925543*Dummy_Variables!E92)+(33.64117308*Dummy_Variables!F92)-(70986.27419*Dummy_Variables!G92)+(2851.729043*Dummy_Variables!H92)-(217.0377465*Dummy_Variables!I92)</f>
        <v>707286.98452768126</v>
      </c>
      <c r="C247">
        <f t="shared" si="3"/>
        <v>32565.595472318702</v>
      </c>
    </row>
    <row r="248" spans="1:3">
      <c r="A248" s="2">
        <v>922168.6</v>
      </c>
      <c r="B248">
        <f>151399.3501+(1.162925543*Dummy_Variables!E14)+(33.64117308*Dummy_Variables!F14)-(70986.27419*Dummy_Variables!G14)+(2851.729043*Dummy_Variables!H14)-(217.0377465*Dummy_Variables!I14)</f>
        <v>889448.10946730513</v>
      </c>
      <c r="C248">
        <f t="shared" si="3"/>
        <v>32720.49053269485</v>
      </c>
    </row>
    <row r="249" spans="1:3">
      <c r="A249" s="2">
        <v>727227.2</v>
      </c>
      <c r="B249">
        <f>151399.3501+(1.162925543*Dummy_Variables!E106)+(33.64117308*Dummy_Variables!F106)-(70986.27419*Dummy_Variables!G106)+(2851.729043*Dummy_Variables!H106)-(217.0377465*Dummy_Variables!I106)</f>
        <v>694210.64031905495</v>
      </c>
      <c r="C249">
        <f t="shared" si="3"/>
        <v>33016.559680945007</v>
      </c>
    </row>
    <row r="250" spans="1:3">
      <c r="A250" s="2">
        <v>674289.1</v>
      </c>
      <c r="B250">
        <f>151399.3501+(1.162925543*Dummy_Variables!E218)+(33.64117308*Dummy_Variables!F218)-(70986.27419*Dummy_Variables!G218)+(2851.729043*Dummy_Variables!H218)-(217.0377465*Dummy_Variables!I218)</f>
        <v>640558.68410831317</v>
      </c>
      <c r="C250">
        <f t="shared" si="3"/>
        <v>33730.415891686804</v>
      </c>
    </row>
    <row r="251" spans="1:3">
      <c r="A251" s="2">
        <v>676337.41</v>
      </c>
      <c r="B251">
        <f>151399.3501+(1.162925543*Dummy_Variables!E243)+(33.64117308*Dummy_Variables!F243)-(70986.27419*Dummy_Variables!G243)+(2851.729043*Dummy_Variables!H243)-(217.0377465*Dummy_Variables!I243)</f>
        <v>641257.48395253881</v>
      </c>
      <c r="C251">
        <f t="shared" si="3"/>
        <v>35079.926047461224</v>
      </c>
    </row>
    <row r="252" spans="1:3">
      <c r="A252" s="2">
        <v>586307.22</v>
      </c>
      <c r="B252">
        <f>151399.3501+(1.162925543*Dummy_Variables!E93)+(33.64117308*Dummy_Variables!F93)-(70986.27419*Dummy_Variables!G93)+(2851.729043*Dummy_Variables!H93)-(217.0377465*Dummy_Variables!I93)</f>
        <v>550686.38233343803</v>
      </c>
      <c r="C252">
        <f t="shared" si="3"/>
        <v>35620.837666561943</v>
      </c>
    </row>
    <row r="253" spans="1:3">
      <c r="A253" s="2">
        <v>675177.68</v>
      </c>
      <c r="B253">
        <f>151399.3501+(1.162925543*Dummy_Variables!E101)+(33.64117308*Dummy_Variables!F101)-(70986.27419*Dummy_Variables!G101)+(2851.729043*Dummy_Variables!H101)-(217.0377465*Dummy_Variables!I101)</f>
        <v>639227.7988639673</v>
      </c>
      <c r="C253">
        <f t="shared" si="3"/>
        <v>35949.881136032753</v>
      </c>
    </row>
    <row r="254" spans="1:3">
      <c r="A254" s="2">
        <v>691112.6</v>
      </c>
      <c r="B254">
        <f>151399.3501+(1.162925543*Dummy_Variables!E79)+(33.64117308*Dummy_Variables!F79)-(70986.27419*Dummy_Variables!G79)+(2851.729043*Dummy_Variables!H79)-(217.0377465*Dummy_Variables!I79)</f>
        <v>654775.56672144134</v>
      </c>
      <c r="C254">
        <f t="shared" si="3"/>
        <v>36337.033278558636</v>
      </c>
    </row>
    <row r="255" spans="1:3">
      <c r="A255" s="2">
        <v>727957.48</v>
      </c>
      <c r="B255">
        <f>151399.3501+(1.162925543*Dummy_Variables!E306)+(33.64117308*Dummy_Variables!F306)-(70986.27419*Dummy_Variables!G306)+(2851.729043*Dummy_Variables!H306)-(217.0377465*Dummy_Variables!I306)</f>
        <v>691609.13738672482</v>
      </c>
      <c r="C255">
        <f t="shared" si="3"/>
        <v>36348.342613275163</v>
      </c>
    </row>
    <row r="256" spans="1:3">
      <c r="A256" s="2">
        <v>709478.39</v>
      </c>
      <c r="B256">
        <f>151399.3501+(1.162925543*Dummy_Variables!E110)+(33.64117308*Dummy_Variables!F110)-(70986.27419*Dummy_Variables!G110)+(2851.729043*Dummy_Variables!H110)-(217.0377465*Dummy_Variables!I110)</f>
        <v>672886.90491097583</v>
      </c>
      <c r="C256">
        <f t="shared" si="3"/>
        <v>36591.48508902418</v>
      </c>
    </row>
    <row r="257" spans="1:3">
      <c r="A257" s="2">
        <v>725847.99</v>
      </c>
      <c r="B257">
        <f>151399.3501+(1.162925543*Dummy_Variables!E153)+(33.64117308*Dummy_Variables!F153)-(70986.27419*Dummy_Variables!G153)+(2851.729043*Dummy_Variables!H153)-(217.0377465*Dummy_Variables!I153)</f>
        <v>688748.19647091394</v>
      </c>
      <c r="C257">
        <f t="shared" si="3"/>
        <v>37099.793529086048</v>
      </c>
    </row>
    <row r="258" spans="1:3">
      <c r="A258" s="2">
        <v>561597.32999999996</v>
      </c>
      <c r="B258">
        <f>151399.3501+(1.162925543*Dummy_Variables!E275)+(33.64117308*Dummy_Variables!F275)-(70986.27419*Dummy_Variables!G275)+(2851.729043*Dummy_Variables!H275)-(217.0377465*Dummy_Variables!I275)</f>
        <v>524090.28175503551</v>
      </c>
      <c r="C258">
        <f t="shared" ref="C258:C321" si="4">A258-B258</f>
        <v>37507.048244964448</v>
      </c>
    </row>
    <row r="259" spans="1:3">
      <c r="A259" s="2">
        <v>740102.64</v>
      </c>
      <c r="B259">
        <f>151399.3501+(1.162925543*Dummy_Variables!E104)+(33.64117308*Dummy_Variables!F104)-(70986.27419*Dummy_Variables!G104)+(2851.729043*Dummy_Variables!H104)-(217.0377465*Dummy_Variables!I104)</f>
        <v>702429.02160473913</v>
      </c>
      <c r="C259">
        <f t="shared" si="4"/>
        <v>37673.618395260884</v>
      </c>
    </row>
    <row r="260" spans="1:3">
      <c r="A260" s="2">
        <v>804975.5</v>
      </c>
      <c r="B260">
        <f>151399.3501+(1.162925543*Dummy_Variables!E215)+(33.64117308*Dummy_Variables!F215)-(70986.27419*Dummy_Variables!G215)+(2851.729043*Dummy_Variables!H215)-(217.0377465*Dummy_Variables!I215)</f>
        <v>765522.37951267138</v>
      </c>
      <c r="C260">
        <f t="shared" si="4"/>
        <v>39453.120487328619</v>
      </c>
    </row>
    <row r="261" spans="1:3">
      <c r="A261" s="2">
        <v>696744.15</v>
      </c>
      <c r="B261">
        <f>151399.3501+(1.162925543*Dummy_Variables!E152)+(33.64117308*Dummy_Variables!F152)-(70986.27419*Dummy_Variables!G152)+(2851.729043*Dummy_Variables!H152)-(217.0377465*Dummy_Variables!I152)</f>
        <v>656689.78456554771</v>
      </c>
      <c r="C261">
        <f t="shared" si="4"/>
        <v>40054.365434452309</v>
      </c>
    </row>
    <row r="262" spans="1:3">
      <c r="A262" s="2">
        <v>691447.43</v>
      </c>
      <c r="B262">
        <f>151399.3501+(1.162925543*Dummy_Variables!E198)+(33.64117308*Dummy_Variables!F198)-(70986.27419*Dummy_Variables!G198)+(2851.729043*Dummy_Variables!H198)-(217.0377465*Dummy_Variables!I198)</f>
        <v>650495.09644986736</v>
      </c>
      <c r="C262">
        <f t="shared" si="4"/>
        <v>40952.333550132695</v>
      </c>
    </row>
    <row r="263" spans="1:3">
      <c r="A263" s="2">
        <v>781955.52</v>
      </c>
      <c r="B263">
        <f>151399.3501+(1.162925543*Dummy_Variables!E180)+(33.64117308*Dummy_Variables!F180)-(70986.27419*Dummy_Variables!G180)+(2851.729043*Dummy_Variables!H180)-(217.0377465*Dummy_Variables!I180)</f>
        <v>740985.14475041383</v>
      </c>
      <c r="C263">
        <f t="shared" si="4"/>
        <v>40970.375249586185</v>
      </c>
    </row>
    <row r="264" spans="1:3">
      <c r="A264" s="2">
        <v>711213.46</v>
      </c>
      <c r="B264">
        <f>151399.3501+(1.162925543*Dummy_Variables!E90)+(33.64117308*Dummy_Variables!F90)-(70986.27419*Dummy_Variables!G90)+(2851.729043*Dummy_Variables!H90)-(217.0377465*Dummy_Variables!I90)</f>
        <v>670241.89087375137</v>
      </c>
      <c r="C264">
        <f t="shared" si="4"/>
        <v>40971.569126248593</v>
      </c>
    </row>
    <row r="265" spans="1:3">
      <c r="A265" s="2">
        <v>773815.14</v>
      </c>
      <c r="B265">
        <f>151399.3501+(1.162925543*Dummy_Variables!E53)+(33.64117308*Dummy_Variables!F53)-(70986.27419*Dummy_Variables!G53)+(2851.729043*Dummy_Variables!H53)-(217.0377465*Dummy_Variables!I53)</f>
        <v>732639.96614315209</v>
      </c>
      <c r="C265">
        <f t="shared" si="4"/>
        <v>41175.17385684792</v>
      </c>
    </row>
    <row r="266" spans="1:3">
      <c r="A266" s="2">
        <v>665342.49</v>
      </c>
      <c r="B266">
        <f>151399.3501+(1.162925543*Dummy_Variables!E308)+(33.64117308*Dummy_Variables!F308)-(70986.27419*Dummy_Variables!G308)+(2851.729043*Dummy_Variables!H308)-(217.0377465*Dummy_Variables!I308)</f>
        <v>624006.62693082227</v>
      </c>
      <c r="C266">
        <f t="shared" si="4"/>
        <v>41335.863069177722</v>
      </c>
    </row>
    <row r="267" spans="1:3">
      <c r="A267" s="2">
        <v>658072.14</v>
      </c>
      <c r="B267">
        <f>151399.3501+(1.162925543*Dummy_Variables!E234)+(33.64117308*Dummy_Variables!F234)-(70986.27419*Dummy_Variables!G234)+(2851.729043*Dummy_Variables!H234)-(217.0377465*Dummy_Variables!I234)</f>
        <v>616655.87246027251</v>
      </c>
      <c r="C267">
        <f t="shared" si="4"/>
        <v>41416.267539727502</v>
      </c>
    </row>
    <row r="268" spans="1:3">
      <c r="A268" s="2">
        <v>682639.28</v>
      </c>
      <c r="B268">
        <f>151399.3501+(1.162925543*Dummy_Variables!E144)+(33.64117308*Dummy_Variables!F144)-(70986.27419*Dummy_Variables!G144)+(2851.729043*Dummy_Variables!H144)-(217.0377465*Dummy_Variables!I144)</f>
        <v>639992.70063877781</v>
      </c>
      <c r="C268">
        <f t="shared" si="4"/>
        <v>42646.579361222219</v>
      </c>
    </row>
    <row r="269" spans="1:3">
      <c r="A269" s="2">
        <v>761860.19</v>
      </c>
      <c r="B269">
        <f>151399.3501+(1.162925543*Dummy_Variables!E65)+(33.64117308*Dummy_Variables!F65)-(70986.27419*Dummy_Variables!G65)+(2851.729043*Dummy_Variables!H65)-(217.0377465*Dummy_Variables!I65)</f>
        <v>717229.64062566718</v>
      </c>
      <c r="C269">
        <f t="shared" si="4"/>
        <v>44630.549374332768</v>
      </c>
    </row>
    <row r="270" spans="1:3">
      <c r="A270" s="2">
        <v>720079.54</v>
      </c>
      <c r="B270">
        <f>151399.3501+(1.162925543*Dummy_Variables!E256)+(33.64117308*Dummy_Variables!F256)-(70986.27419*Dummy_Variables!G256)+(2851.729043*Dummy_Variables!H256)-(217.0377465*Dummy_Variables!I256)</f>
        <v>675347.40176038782</v>
      </c>
      <c r="C270">
        <f t="shared" si="4"/>
        <v>44732.138239612221</v>
      </c>
    </row>
    <row r="271" spans="1:3">
      <c r="A271" s="2">
        <v>720852.5</v>
      </c>
      <c r="B271">
        <f>151399.3501+(1.162925543*Dummy_Variables!E56)+(33.64117308*Dummy_Variables!F56)-(70986.27419*Dummy_Variables!G56)+(2851.729043*Dummy_Variables!H56)-(217.0377465*Dummy_Variables!I56)</f>
        <v>674815.99245579646</v>
      </c>
      <c r="C271">
        <f t="shared" si="4"/>
        <v>46036.507544203545</v>
      </c>
    </row>
    <row r="272" spans="1:3">
      <c r="A272" s="2">
        <v>739374.56</v>
      </c>
      <c r="B272">
        <f>151399.3501+(1.162925543*Dummy_Variables!E271)+(33.64117308*Dummy_Variables!F271)-(70986.27419*Dummy_Variables!G271)+(2851.729043*Dummy_Variables!H271)-(217.0377465*Dummy_Variables!I271)</f>
        <v>692882.39804310875</v>
      </c>
      <c r="C272">
        <f t="shared" si="4"/>
        <v>46492.161956891301</v>
      </c>
    </row>
    <row r="273" spans="1:3">
      <c r="A273" s="2">
        <v>753473.55</v>
      </c>
      <c r="B273">
        <f>151399.3501+(1.162925543*Dummy_Variables!E95)+(33.64117308*Dummy_Variables!F95)-(70986.27419*Dummy_Variables!G95)+(2851.729043*Dummy_Variables!H95)-(217.0377465*Dummy_Variables!I95)</f>
        <v>706942.2827198999</v>
      </c>
      <c r="C273">
        <f t="shared" si="4"/>
        <v>46531.267280100146</v>
      </c>
    </row>
    <row r="274" spans="1:3">
      <c r="A274" s="2">
        <v>746677.75</v>
      </c>
      <c r="B274">
        <f>151399.3501+(1.162925543*Dummy_Variables!E55)+(33.64117308*Dummy_Variables!F55)-(70986.27419*Dummy_Variables!G55)+(2851.729043*Dummy_Variables!H55)-(217.0377465*Dummy_Variables!I55)</f>
        <v>699940.9356091175</v>
      </c>
      <c r="C274">
        <f t="shared" si="4"/>
        <v>46736.8143908825</v>
      </c>
    </row>
    <row r="275" spans="1:3">
      <c r="A275" s="2">
        <v>615966.48</v>
      </c>
      <c r="B275">
        <f>151399.3501+(1.162925543*Dummy_Variables!E63)+(33.64117308*Dummy_Variables!F63)-(70986.27419*Dummy_Variables!G63)+(2851.729043*Dummy_Variables!H63)-(217.0377465*Dummy_Variables!I63)</f>
        <v>568322.73936375033</v>
      </c>
      <c r="C275">
        <f t="shared" si="4"/>
        <v>47643.740636249655</v>
      </c>
    </row>
    <row r="276" spans="1:3">
      <c r="A276" s="2">
        <v>778397.97</v>
      </c>
      <c r="B276">
        <f>151399.3501+(1.162925543*Dummy_Variables!E114)+(33.64117308*Dummy_Variables!F114)-(70986.27419*Dummy_Variables!G114)+(2851.729043*Dummy_Variables!H114)-(217.0377465*Dummy_Variables!I114)</f>
        <v>730051.49230694969</v>
      </c>
      <c r="C276">
        <f t="shared" si="4"/>
        <v>48346.477693050285</v>
      </c>
    </row>
    <row r="277" spans="1:3">
      <c r="A277" s="2">
        <v>776992.93</v>
      </c>
      <c r="B277">
        <f>151399.3501+(1.162925543*Dummy_Variables!E242)+(33.64117308*Dummy_Variables!F242)-(70986.27419*Dummy_Variables!G242)+(2851.729043*Dummy_Variables!H242)-(217.0377465*Dummy_Variables!I242)</f>
        <v>727828.49729957525</v>
      </c>
      <c r="C277">
        <f t="shared" si="4"/>
        <v>49164.432700424804</v>
      </c>
    </row>
    <row r="278" spans="1:3">
      <c r="A278" s="2">
        <v>635181.35</v>
      </c>
      <c r="B278">
        <f>151399.3501+(1.162925543*Dummy_Variables!E102)+(33.64117308*Dummy_Variables!F102)-(70986.27419*Dummy_Variables!G102)+(2851.729043*Dummy_Variables!H102)-(217.0377465*Dummy_Variables!I102)</f>
        <v>585654.21920708474</v>
      </c>
      <c r="C278">
        <f t="shared" si="4"/>
        <v>49527.130792915239</v>
      </c>
    </row>
    <row r="279" spans="1:3">
      <c r="A279" s="2">
        <v>873380.02</v>
      </c>
      <c r="B279">
        <f>151399.3501+(1.162925543*Dummy_Variables!E115)+(33.64117308*Dummy_Variables!F115)-(70986.27419*Dummy_Variables!G115)+(2851.729043*Dummy_Variables!H115)-(217.0377465*Dummy_Variables!I115)</f>
        <v>822697.55300629267</v>
      </c>
      <c r="C279">
        <f t="shared" si="4"/>
        <v>50682.466993707349</v>
      </c>
    </row>
    <row r="280" spans="1:3">
      <c r="A280" s="2">
        <v>825797.91</v>
      </c>
      <c r="B280">
        <f>151399.3501+(1.162925543*Dummy_Variables!E166)+(33.64117308*Dummy_Variables!F166)-(70986.27419*Dummy_Variables!G166)+(2851.729043*Dummy_Variables!H166)-(217.0377465*Dummy_Variables!I166)</f>
        <v>773988.15587319783</v>
      </c>
      <c r="C280">
        <f t="shared" si="4"/>
        <v>51809.754126802203</v>
      </c>
    </row>
    <row r="281" spans="1:3">
      <c r="A281" s="2">
        <v>715890.53</v>
      </c>
      <c r="B281">
        <f>151399.3501+(1.162925543*Dummy_Variables!E142)+(33.64117308*Dummy_Variables!F142)-(70986.27419*Dummy_Variables!G142)+(2851.729043*Dummy_Variables!H142)-(217.0377465*Dummy_Variables!I142)</f>
        <v>664043.54152650828</v>
      </c>
      <c r="C281">
        <f t="shared" si="4"/>
        <v>51846.988473491743</v>
      </c>
    </row>
    <row r="282" spans="1:3">
      <c r="A282" s="2">
        <v>776110.32</v>
      </c>
      <c r="B282">
        <f>151399.3501+(1.162925543*Dummy_Variables!E261)+(33.64117308*Dummy_Variables!F261)-(70986.27419*Dummy_Variables!G261)+(2851.729043*Dummy_Variables!H261)-(217.0377465*Dummy_Variables!I261)</f>
        <v>722097.90187366633</v>
      </c>
      <c r="C282">
        <f t="shared" si="4"/>
        <v>54012.418126333621</v>
      </c>
    </row>
    <row r="283" spans="1:3">
      <c r="A283" s="2">
        <v>820593.93</v>
      </c>
      <c r="B283">
        <f>151399.3501+(1.162925543*Dummy_Variables!E38)+(33.64117308*Dummy_Variables!F38)-(70986.27419*Dummy_Variables!G38)+(2851.729043*Dummy_Variables!H38)-(217.0377465*Dummy_Variables!I38)</f>
        <v>766484.20072364935</v>
      </c>
      <c r="C283">
        <f t="shared" si="4"/>
        <v>54109.729276350699</v>
      </c>
    </row>
    <row r="284" spans="1:3">
      <c r="A284" s="2">
        <v>870937.4</v>
      </c>
      <c r="B284">
        <f>151399.3501+(1.162925543*Dummy_Variables!E231)+(33.64117308*Dummy_Variables!F231)-(70986.27419*Dummy_Variables!G231)+(2851.729043*Dummy_Variables!H231)-(217.0377465*Dummy_Variables!I231)</f>
        <v>816604.21774874802</v>
      </c>
      <c r="C284">
        <f t="shared" si="4"/>
        <v>54333.182251252001</v>
      </c>
    </row>
    <row r="285" spans="1:3">
      <c r="A285" s="2">
        <v>776922.17</v>
      </c>
      <c r="B285">
        <f>151399.3501+(1.162925543*Dummy_Variables!E80)+(33.64117308*Dummy_Variables!F80)-(70986.27419*Dummy_Variables!G80)+(2851.729043*Dummy_Variables!H80)-(217.0377465*Dummy_Variables!I80)</f>
        <v>722297.19850227586</v>
      </c>
      <c r="C285">
        <f t="shared" si="4"/>
        <v>54624.971497724182</v>
      </c>
    </row>
    <row r="286" spans="1:3">
      <c r="A286" s="2">
        <v>795464.47</v>
      </c>
      <c r="B286">
        <f>151399.3501+(1.162925543*Dummy_Variables!E207)+(33.64117308*Dummy_Variables!F207)-(70986.27419*Dummy_Variables!G207)+(2851.729043*Dummy_Variables!H207)-(217.0377465*Dummy_Variables!I207)</f>
        <v>740223.62844309234</v>
      </c>
      <c r="C286">
        <f t="shared" si="4"/>
        <v>55240.841556907631</v>
      </c>
    </row>
    <row r="287" spans="1:3">
      <c r="A287" s="2">
        <v>620973.03</v>
      </c>
      <c r="B287">
        <f>151399.3501+(1.162925543*Dummy_Variables!E161)+(33.64117308*Dummy_Variables!F161)-(70986.27419*Dummy_Variables!G161)+(2851.729043*Dummy_Variables!H161)-(217.0377465*Dummy_Variables!I161)</f>
        <v>561567.22203953145</v>
      </c>
      <c r="C287">
        <f t="shared" si="4"/>
        <v>59405.807960468577</v>
      </c>
    </row>
    <row r="288" spans="1:3">
      <c r="A288" s="2">
        <v>910791.94</v>
      </c>
      <c r="B288">
        <f>151399.3501+(1.162925543*Dummy_Variables!E13)+(33.64117308*Dummy_Variables!F13)-(70986.27419*Dummy_Variables!G13)+(2851.729043*Dummy_Variables!H13)-(217.0377465*Dummy_Variables!I13)</f>
        <v>851138.73972349486</v>
      </c>
      <c r="C288">
        <f t="shared" si="4"/>
        <v>59653.200276505086</v>
      </c>
    </row>
    <row r="289" spans="1:3">
      <c r="A289" s="2">
        <v>758827.64</v>
      </c>
      <c r="B289">
        <f>151399.3501+(1.162925543*Dummy_Variables!E140)+(33.64117308*Dummy_Variables!F140)-(70986.27419*Dummy_Variables!G140)+(2851.729043*Dummy_Variables!H140)-(217.0377465*Dummy_Variables!I140)</f>
        <v>699131.01420223701</v>
      </c>
      <c r="C289">
        <f t="shared" si="4"/>
        <v>59696.625797763001</v>
      </c>
    </row>
    <row r="290" spans="1:3">
      <c r="A290" s="2">
        <v>673348.56</v>
      </c>
      <c r="B290">
        <f>151399.3501+(1.162925543*Dummy_Variables!E220)+(33.64117308*Dummy_Variables!F220)-(70986.27419*Dummy_Variables!G220)+(2851.729043*Dummy_Variables!H220)-(217.0377465*Dummy_Variables!I220)</f>
        <v>612216.36172313429</v>
      </c>
      <c r="C290">
        <f t="shared" si="4"/>
        <v>61132.198276865762</v>
      </c>
    </row>
    <row r="291" spans="1:3">
      <c r="A291" s="2">
        <v>682208.01</v>
      </c>
      <c r="B291">
        <f>151399.3501+(1.162925543*Dummy_Variables!E83)+(33.64117308*Dummy_Variables!F83)-(70986.27419*Dummy_Variables!G83)+(2851.729043*Dummy_Variables!H83)-(217.0377465*Dummy_Variables!I83)</f>
        <v>620413.72941654036</v>
      </c>
      <c r="C291">
        <f t="shared" si="4"/>
        <v>61794.280583459651</v>
      </c>
    </row>
    <row r="292" spans="1:3">
      <c r="A292" s="2">
        <v>765906.95</v>
      </c>
      <c r="B292">
        <f>151399.3501+(1.162925543*Dummy_Variables!E188)+(33.64117308*Dummy_Variables!F188)-(70986.27419*Dummy_Variables!G188)+(2851.729043*Dummy_Variables!H188)-(217.0377465*Dummy_Variables!I188)</f>
        <v>703810.62834978476</v>
      </c>
      <c r="C292">
        <f t="shared" si="4"/>
        <v>62096.321650215192</v>
      </c>
    </row>
    <row r="293" spans="1:3">
      <c r="A293" s="2">
        <v>838250.32</v>
      </c>
      <c r="B293">
        <f>151399.3501+(1.162925543*Dummy_Variables!E96)+(33.64117308*Dummy_Variables!F96)-(70986.27419*Dummy_Variables!G96)+(2851.729043*Dummy_Variables!H96)-(217.0377465*Dummy_Variables!I96)</f>
        <v>775202.57488371083</v>
      </c>
      <c r="C293">
        <f t="shared" si="4"/>
        <v>63047.745116289123</v>
      </c>
    </row>
    <row r="294" spans="1:3">
      <c r="A294" s="2">
        <v>661927.14</v>
      </c>
      <c r="B294">
        <f>151399.3501+(1.162925543*Dummy_Variables!E70)+(33.64117308*Dummy_Variables!F70)-(70986.27419*Dummy_Variables!G70)+(2851.729043*Dummy_Variables!H70)-(217.0377465*Dummy_Variables!I70)</f>
        <v>598343.74293043138</v>
      </c>
      <c r="C294">
        <f t="shared" si="4"/>
        <v>63583.397069568629</v>
      </c>
    </row>
    <row r="295" spans="1:3">
      <c r="A295" s="2">
        <v>749559.71</v>
      </c>
      <c r="B295">
        <f>151399.3501+(1.162925543*Dummy_Variables!E62)+(33.64117308*Dummy_Variables!F62)-(70986.27419*Dummy_Variables!G62)+(2851.729043*Dummy_Variables!H62)-(217.0377465*Dummy_Variables!I62)</f>
        <v>685235.96529003314</v>
      </c>
      <c r="C295">
        <f t="shared" si="4"/>
        <v>64323.744709966821</v>
      </c>
    </row>
    <row r="296" spans="1:3">
      <c r="A296" s="2">
        <v>780580.95</v>
      </c>
      <c r="B296">
        <f>151399.3501+(1.162925543*Dummy_Variables!E305)+(33.64117308*Dummy_Variables!F305)-(70986.27419*Dummy_Variables!G305)+(2851.729043*Dummy_Variables!H305)-(217.0377465*Dummy_Variables!I305)</f>
        <v>714833.96970727679</v>
      </c>
      <c r="C296">
        <f t="shared" si="4"/>
        <v>65746.980292723165</v>
      </c>
    </row>
    <row r="297" spans="1:3">
      <c r="A297" s="2">
        <v>842157.92</v>
      </c>
      <c r="B297">
        <f>151399.3501+(1.162925543*Dummy_Variables!E128)+(33.64117308*Dummy_Variables!F128)-(70986.27419*Dummy_Variables!G128)+(2851.729043*Dummy_Variables!H128)-(217.0377465*Dummy_Variables!I128)</f>
        <v>776247.35237247974</v>
      </c>
      <c r="C297">
        <f t="shared" si="4"/>
        <v>65910.5676275203</v>
      </c>
    </row>
    <row r="298" spans="1:3">
      <c r="A298" s="2">
        <v>850164.26</v>
      </c>
      <c r="B298">
        <f>151399.3501+(1.162925543*Dummy_Variables!E9)+(33.64117308*Dummy_Variables!F9)-(70986.27419*Dummy_Variables!G9)+(2851.729043*Dummy_Variables!H9)-(217.0377465*Dummy_Variables!I9)</f>
        <v>782464.97419067635</v>
      </c>
      <c r="C298">
        <f t="shared" si="4"/>
        <v>67699.285809323657</v>
      </c>
    </row>
    <row r="299" spans="1:3">
      <c r="A299" s="2">
        <v>898031.04</v>
      </c>
      <c r="B299">
        <f>151399.3501+(1.162925543*Dummy_Variables!E181)+(33.64117308*Dummy_Variables!F181)-(70986.27419*Dummy_Variables!G181)+(2851.729043*Dummy_Variables!H181)-(217.0377465*Dummy_Variables!I181)</f>
        <v>829451.21923893713</v>
      </c>
      <c r="C299">
        <f t="shared" si="4"/>
        <v>68579.820761062903</v>
      </c>
    </row>
    <row r="300" spans="1:3">
      <c r="A300" s="2">
        <v>677640.65</v>
      </c>
      <c r="B300">
        <f>151399.3501+(1.162925543*Dummy_Variables!E264)+(33.64117308*Dummy_Variables!F264)-(70986.27419*Dummy_Variables!G264)+(2851.729043*Dummy_Variables!H264)-(217.0377465*Dummy_Variables!I264)</f>
        <v>608726.44065331866</v>
      </c>
      <c r="C300">
        <f t="shared" si="4"/>
        <v>68914.209346681368</v>
      </c>
    </row>
    <row r="301" spans="1:3">
      <c r="A301" s="2">
        <v>724216.07</v>
      </c>
      <c r="B301">
        <f>151399.3501+(1.162925543*Dummy_Variables!E160)+(33.64117308*Dummy_Variables!F160)-(70986.27419*Dummy_Variables!G160)+(2851.729043*Dummy_Variables!H160)-(217.0377465*Dummy_Variables!I160)</f>
        <v>653749.18730284099</v>
      </c>
      <c r="C301">
        <f t="shared" si="4"/>
        <v>70466.882697158959</v>
      </c>
    </row>
    <row r="302" spans="1:3">
      <c r="A302" s="2">
        <v>657429.18000000005</v>
      </c>
      <c r="B302">
        <f>151399.3501+(1.162925543*Dummy_Variables!E44)+(33.64117308*Dummy_Variables!F44)-(70986.27419*Dummy_Variables!G44)+(2851.729043*Dummy_Variables!H44)-(217.0377465*Dummy_Variables!I44)</f>
        <v>586039.06031568418</v>
      </c>
      <c r="C302">
        <f t="shared" si="4"/>
        <v>71390.119684315869</v>
      </c>
    </row>
    <row r="303" spans="1:3">
      <c r="A303" s="2">
        <v>788087.68</v>
      </c>
      <c r="B303">
        <f>151399.3501+(1.162925543*Dummy_Variables!E76)+(33.64117308*Dummy_Variables!F76)-(70986.27419*Dummy_Variables!G76)+(2851.729043*Dummy_Variables!H76)-(217.0377465*Dummy_Variables!I76)</f>
        <v>714794.74755007564</v>
      </c>
      <c r="C303">
        <f t="shared" si="4"/>
        <v>73292.93244992441</v>
      </c>
    </row>
    <row r="304" spans="1:3">
      <c r="A304" s="2">
        <v>795153.84</v>
      </c>
      <c r="B304">
        <f>151399.3501+(1.162925543*Dummy_Variables!E108)+(33.64117308*Dummy_Variables!F108)-(70986.27419*Dummy_Variables!G108)+(2851.729043*Dummy_Variables!H108)-(217.0377465*Dummy_Variables!I108)</f>
        <v>720294.36308890698</v>
      </c>
      <c r="C304">
        <f t="shared" si="4"/>
        <v>74859.476911092992</v>
      </c>
    </row>
    <row r="305" spans="1:3">
      <c r="A305" s="2">
        <v>723305.11</v>
      </c>
      <c r="B305">
        <f>151399.3501+(1.162925543*Dummy_Variables!E235)+(33.64117308*Dummy_Variables!F235)-(70986.27419*Dummy_Variables!G235)+(2851.729043*Dummy_Variables!H235)-(217.0377465*Dummy_Variables!I235)</f>
        <v>647529.27058346896</v>
      </c>
      <c r="C305">
        <f t="shared" si="4"/>
        <v>75775.839416531031</v>
      </c>
    </row>
    <row r="306" spans="1:3">
      <c r="A306" s="2">
        <v>778298.88</v>
      </c>
      <c r="B306">
        <f>151399.3501+(1.162925543*Dummy_Variables!E163)+(33.64117308*Dummy_Variables!F163)-(70986.27419*Dummy_Variables!G163)+(2851.729043*Dummy_Variables!H163)-(217.0377465*Dummy_Variables!I163)</f>
        <v>700043.01780444547</v>
      </c>
      <c r="C306">
        <f t="shared" si="4"/>
        <v>78255.862195554539</v>
      </c>
    </row>
    <row r="307" spans="1:3">
      <c r="A307" s="2">
        <v>763162.45</v>
      </c>
      <c r="B307">
        <f>151399.3501+(1.162925543*Dummy_Variables!E299)+(33.64117308*Dummy_Variables!F299)-(70986.27419*Dummy_Variables!G299)+(2851.729043*Dummy_Variables!H299)-(217.0377465*Dummy_Variables!I299)</f>
        <v>681595.25849405234</v>
      </c>
      <c r="C307">
        <f t="shared" si="4"/>
        <v>81567.191505947616</v>
      </c>
    </row>
    <row r="308" spans="1:3">
      <c r="A308" s="2">
        <v>813316.71</v>
      </c>
      <c r="B308">
        <f>151399.3501+(1.162925543*Dummy_Variables!E292)+(33.64117308*Dummy_Variables!F292)-(70986.27419*Dummy_Variables!G292)+(2851.729043*Dummy_Variables!H292)-(217.0377465*Dummy_Variables!I292)</f>
        <v>731594.63767837395</v>
      </c>
      <c r="C308">
        <f t="shared" si="4"/>
        <v>81722.072321626008</v>
      </c>
    </row>
    <row r="309" spans="1:3">
      <c r="A309" s="2">
        <v>735786.64</v>
      </c>
      <c r="B309">
        <f>151399.3501+(1.162925543*Dummy_Variables!E201)+(33.64117308*Dummy_Variables!F201)-(70986.27419*Dummy_Variables!G201)+(2851.729043*Dummy_Variables!H201)-(217.0377465*Dummy_Variables!I201)</f>
        <v>653365.15267333738</v>
      </c>
      <c r="C309">
        <f t="shared" si="4"/>
        <v>82421.487326662638</v>
      </c>
    </row>
    <row r="310" spans="1:3">
      <c r="A310" s="2">
        <v>783582</v>
      </c>
      <c r="B310">
        <f>151399.3501+(1.162925543*Dummy_Variables!E179)+(33.64117308*Dummy_Variables!F179)-(70986.27419*Dummy_Variables!G179)+(2851.729043*Dummy_Variables!H179)-(217.0377465*Dummy_Variables!I179)</f>
        <v>698840.83715547074</v>
      </c>
      <c r="C310">
        <f t="shared" si="4"/>
        <v>84741.162844529259</v>
      </c>
    </row>
    <row r="311" spans="1:3">
      <c r="A311" s="2">
        <v>735509.4</v>
      </c>
      <c r="B311">
        <f>151399.3501+(1.162925543*Dummy_Variables!E99)+(33.64117308*Dummy_Variables!F99)-(70986.27419*Dummy_Variables!G99)+(2851.729043*Dummy_Variables!H99)-(217.0377465*Dummy_Variables!I99)</f>
        <v>648875.43089044886</v>
      </c>
      <c r="C311">
        <f t="shared" si="4"/>
        <v>86633.969109551166</v>
      </c>
    </row>
    <row r="312" spans="1:3">
      <c r="A312" s="2">
        <v>686737.87</v>
      </c>
      <c r="B312">
        <f>151399.3501+(1.162925543*Dummy_Variables!E277)+(33.64117308*Dummy_Variables!F277)-(70986.27419*Dummy_Variables!G277)+(2851.729043*Dummy_Variables!H277)-(217.0377465*Dummy_Variables!I277)</f>
        <v>597944.58108939591</v>
      </c>
      <c r="C312">
        <f t="shared" si="4"/>
        <v>88793.288910604082</v>
      </c>
    </row>
    <row r="313" spans="1:3">
      <c r="A313" s="2">
        <v>930581.7</v>
      </c>
      <c r="B313">
        <f>151399.3501+(1.162925543*Dummy_Variables!E10)+(33.64117308*Dummy_Variables!F10)-(70986.27419*Dummy_Variables!G10)+(2851.729043*Dummy_Variables!H10)-(217.0377465*Dummy_Variables!I10)</f>
        <v>841473.14113177103</v>
      </c>
      <c r="C313">
        <f t="shared" si="4"/>
        <v>89108.558868228924</v>
      </c>
    </row>
    <row r="314" spans="1:3">
      <c r="A314" s="2">
        <v>820519.04</v>
      </c>
      <c r="B314">
        <f>151399.3501+(1.162925543*Dummy_Variables!E119)+(33.64117308*Dummy_Variables!F119)-(70986.27419*Dummy_Variables!G119)+(2851.729043*Dummy_Variables!H119)-(217.0377465*Dummy_Variables!I119)</f>
        <v>730945.90974606539</v>
      </c>
      <c r="C314">
        <f t="shared" si="4"/>
        <v>89573.130253934651</v>
      </c>
    </row>
    <row r="315" spans="1:3">
      <c r="A315" s="2">
        <v>840108.12</v>
      </c>
      <c r="B315">
        <f>151399.3501+(1.162925543*Dummy_Variables!E258)+(33.64117308*Dummy_Variables!F258)-(70986.27419*Dummy_Variables!G258)+(2851.729043*Dummy_Variables!H258)-(217.0377465*Dummy_Variables!I258)</f>
        <v>748748.18882942095</v>
      </c>
      <c r="C315">
        <f t="shared" si="4"/>
        <v>91359.931170579046</v>
      </c>
    </row>
    <row r="316" spans="1:3">
      <c r="A316" s="2">
        <v>727241.86</v>
      </c>
      <c r="B316">
        <f>151399.3501+(1.162925543*Dummy_Variables!E84)+(33.64117308*Dummy_Variables!F84)-(70986.27419*Dummy_Variables!G84)+(2851.729043*Dummy_Variables!H84)-(217.0377465*Dummy_Variables!I84)</f>
        <v>634632.6109743691</v>
      </c>
      <c r="C316">
        <f t="shared" si="4"/>
        <v>92609.249025630881</v>
      </c>
    </row>
    <row r="317" spans="1:3">
      <c r="A317" s="2">
        <v>799046.94</v>
      </c>
      <c r="B317">
        <f>151399.3501+(1.162925543*Dummy_Variables!E255)+(33.64117308*Dummy_Variables!F255)-(70986.27419*Dummy_Variables!G255)+(2851.729043*Dummy_Variables!H255)-(217.0377465*Dummy_Variables!I255)</f>
        <v>705961.25759175583</v>
      </c>
      <c r="C317">
        <f t="shared" si="4"/>
        <v>93085.682408244116</v>
      </c>
    </row>
    <row r="318" spans="1:3">
      <c r="A318" s="2">
        <v>625514.04</v>
      </c>
      <c r="B318">
        <f>151399.3501+(1.162925543*Dummy_Variables!E105)+(33.64117308*Dummy_Variables!F105)-(70986.27419*Dummy_Variables!G105)+(2851.729043*Dummy_Variables!H105)-(217.0377465*Dummy_Variables!I105)</f>
        <v>527098.18468300556</v>
      </c>
      <c r="C318">
        <f t="shared" si="4"/>
        <v>98415.855316994479</v>
      </c>
    </row>
    <row r="319" spans="1:3">
      <c r="A319" s="2">
        <v>914544.17</v>
      </c>
      <c r="B319">
        <f>151399.3501+(1.162925543*Dummy_Variables!E126)+(33.64117308*Dummy_Variables!F126)-(70986.27419*Dummy_Variables!G126)+(2851.729043*Dummy_Variables!H126)-(217.0377465*Dummy_Variables!I126)</f>
        <v>815206.84745873709</v>
      </c>
      <c r="C319">
        <f t="shared" si="4"/>
        <v>99337.322541262954</v>
      </c>
    </row>
    <row r="320" spans="1:3">
      <c r="A320" s="2">
        <v>787715.51</v>
      </c>
      <c r="B320">
        <f>151399.3501+(1.162925543*Dummy_Variables!E203)+(33.64117308*Dummy_Variables!F203)-(70986.27419*Dummy_Variables!G203)+(2851.729043*Dummy_Variables!H203)-(217.0377465*Dummy_Variables!I203)</f>
        <v>685783.33561436972</v>
      </c>
      <c r="C320">
        <f t="shared" si="4"/>
        <v>101932.17438563029</v>
      </c>
    </row>
    <row r="321" spans="1:3">
      <c r="A321" s="2">
        <v>713611.16</v>
      </c>
      <c r="B321">
        <f>151399.3501+(1.162925543*Dummy_Variables!E113)+(33.64117308*Dummy_Variables!F113)-(70986.27419*Dummy_Variables!G113)+(2851.729043*Dummy_Variables!H113)-(217.0377465*Dummy_Variables!I113)</f>
        <v>606894.40936515946</v>
      </c>
      <c r="C321">
        <f t="shared" si="4"/>
        <v>106716.75063484057</v>
      </c>
    </row>
  </sheetData>
  <sortState ref="A2:C321">
    <sortCondition ref="C2:C321"/>
  </sortState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571F5-1BE9-48DD-971D-3F450667C2E8}">
  <dimension ref="A1:F4"/>
  <sheetViews>
    <sheetView workbookViewId="0">
      <selection activeCell="A18" sqref="A18"/>
    </sheetView>
  </sheetViews>
  <sheetFormatPr defaultRowHeight="14.5"/>
  <cols>
    <col min="1" max="1" width="11.08984375" customWidth="1"/>
    <col min="2" max="3" width="14.36328125" customWidth="1"/>
    <col min="5" max="5" width="12.453125" customWidth="1"/>
    <col min="6" max="6" width="11.7265625" customWidth="1"/>
  </cols>
  <sheetData>
    <row r="1" spans="1:6" ht="29">
      <c r="A1" s="12" t="s">
        <v>134</v>
      </c>
      <c r="B1" s="12" t="s">
        <v>135</v>
      </c>
      <c r="C1" s="12" t="s">
        <v>136</v>
      </c>
      <c r="D1" s="12" t="s">
        <v>137</v>
      </c>
      <c r="E1" s="12" t="s">
        <v>138</v>
      </c>
      <c r="F1" s="12" t="s">
        <v>139</v>
      </c>
    </row>
    <row r="2" spans="1:6" ht="29">
      <c r="A2" s="14" t="s">
        <v>140</v>
      </c>
      <c r="B2" s="13" t="s">
        <v>141</v>
      </c>
      <c r="C2" s="13" t="s">
        <v>142</v>
      </c>
      <c r="D2" s="13">
        <v>0.16700000000000001</v>
      </c>
      <c r="E2" s="13" t="s">
        <v>142</v>
      </c>
      <c r="F2" s="13" t="s">
        <v>143</v>
      </c>
    </row>
    <row r="3" spans="1:6" ht="29">
      <c r="A3" s="14" t="s">
        <v>144</v>
      </c>
      <c r="B3" s="13" t="s">
        <v>141</v>
      </c>
      <c r="C3" s="13" t="s">
        <v>145</v>
      </c>
      <c r="D3" s="13">
        <v>0.73599999999999999</v>
      </c>
      <c r="E3" s="13" t="s">
        <v>145</v>
      </c>
      <c r="F3" s="13" t="s">
        <v>146</v>
      </c>
    </row>
    <row r="4" spans="1:6" ht="87">
      <c r="A4" s="14" t="s">
        <v>147</v>
      </c>
      <c r="B4" s="13" t="s">
        <v>141</v>
      </c>
      <c r="C4" s="13" t="s">
        <v>148</v>
      </c>
      <c r="D4" s="13">
        <v>0.80700000000000005</v>
      </c>
      <c r="E4" s="13" t="s">
        <v>149</v>
      </c>
      <c r="F4" s="13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store_performance</vt:lpstr>
      <vt:lpstr>cleaned_data_dummy</vt:lpstr>
      <vt:lpstr>cleaned_data</vt:lpstr>
      <vt:lpstr>Dummy_Variables</vt:lpstr>
      <vt:lpstr>Simple_Regression_1</vt:lpstr>
      <vt:lpstr>Simple_Regression_2</vt:lpstr>
      <vt:lpstr>Multiple_Regression</vt:lpstr>
      <vt:lpstr>Predictions_Residuals</vt:lpstr>
      <vt:lpstr>Model_Comparison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Roy</dc:creator>
  <cp:lastModifiedBy>Ravi Roy</cp:lastModifiedBy>
  <dcterms:created xsi:type="dcterms:W3CDTF">2026-06-22T06:44:24Z</dcterms:created>
  <dcterms:modified xsi:type="dcterms:W3CDTF">2026-06-22T17:20:02Z</dcterms:modified>
</cp:coreProperties>
</file>